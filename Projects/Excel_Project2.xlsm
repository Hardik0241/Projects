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Hardik\Hardik VIT\MS-Excel\"/>
    </mc:Choice>
  </mc:AlternateContent>
  <xr:revisionPtr revIDLastSave="0" documentId="13_ncr:1_{6D14CF45-636A-42C0-A204-532C0F679865}" xr6:coauthVersionLast="47" xr6:coauthVersionMax="47" xr10:uidLastSave="{00000000-0000-0000-0000-000000000000}"/>
  <bookViews>
    <workbookView xWindow="-120" yWindow="-120" windowWidth="15600" windowHeight="11040" tabRatio="771" activeTab="3" xr2:uid="{00000000-000D-0000-FFFF-FFFF00000000}"/>
  </bookViews>
  <sheets>
    <sheet name="Project_Overview" sheetId="1" r:id="rId1"/>
    <sheet name="SampleData" sheetId="2" r:id="rId2"/>
    <sheet name="Pivot_Table_Data" sheetId="5" r:id="rId3"/>
    <sheet name="Dashboard" sheetId="6" r:id="rId4"/>
    <sheet name="Report" sheetId="4" r:id="rId5"/>
  </sheets>
  <definedNames>
    <definedName name="_xlcn.WorksheetConnection_HardikProject1.xlsxTable11" hidden="1">Table1[]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Hardik Project1.xlsx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6" l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D6" i="6" a="1"/>
  <c r="D6" i="6" s="1"/>
  <c r="B8" i="6"/>
  <c r="B7" i="6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B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</author>
  </authors>
  <commentList>
    <comment ref="G4" authorId="0" shapeId="0" xr:uid="{9C5521BC-A611-4999-A223-030A552DE6A5}">
      <text>
        <r>
          <rPr>
            <b/>
            <sz val="9"/>
            <color indexed="81"/>
            <rFont val="Tahoma"/>
            <family val="2"/>
          </rPr>
          <t>Hardik:
If some changes occurs here in table, Report Visualisation chart in Dashboard sheet will also change.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Rajan</author>
  </authors>
  <commentList>
    <comment ref="B7" authorId="0" shapeId="0" xr:uid="{F4546957-0704-4EC0-A67A-BB8DBA2A6327}">
      <text>
        <r>
          <rPr>
            <b/>
            <sz val="9"/>
            <color indexed="81"/>
            <rFont val="Tahoma"/>
            <family val="2"/>
          </rPr>
          <t>Hardik:
Only Finance &amp; Sales Department has Income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4F62EA-EC85-41E4-AF83-B0E6FF3EF7A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2656860-696A-473A-895E-A4E42E15D4D1}" name="WorksheetConnection_Hardik Project1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HardikProject1.xlsx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<sst xmlns="http://schemas.openxmlformats.org/spreadsheetml/2006/main" count="2112" uniqueCount="74">
  <si>
    <t>Objectives:</t>
  </si>
  <si>
    <t>Automate report generation using VBA.</t>
  </si>
  <si>
    <t>Validate input data using dropdowns.</t>
  </si>
  <si>
    <t xml:space="preserve">Display key financial metrics using formulas.
</t>
  </si>
  <si>
    <t>Use VBA to handle errors and user inputs.</t>
  </si>
  <si>
    <r>
      <t>Conclusion:</t>
    </r>
    <r>
      <rPr>
        <sz val="15"/>
        <color rgb="FFC00000"/>
        <rFont val="Times New Roman"/>
        <family val="1"/>
      </rPr>
      <t xml:space="preserve">  </t>
    </r>
    <r>
      <rPr>
        <sz val="13"/>
        <color theme="1"/>
        <rFont val="Times New Roman"/>
        <family val="1"/>
      </rPr>
      <t>The project helped me learn how to build a user-friendly automated reporting system with error handling, data validation, and dynamic dashboards using Excel VBA.</t>
    </r>
  </si>
  <si>
    <t>Date</t>
  </si>
  <si>
    <t>Department</t>
  </si>
  <si>
    <t>Category</t>
  </si>
  <si>
    <t>Description</t>
  </si>
  <si>
    <t>Amount</t>
  </si>
  <si>
    <t>Type</t>
  </si>
  <si>
    <t>HR</t>
  </si>
  <si>
    <t>Salary</t>
  </si>
  <si>
    <t>Salary - Details</t>
  </si>
  <si>
    <t>Expense</t>
  </si>
  <si>
    <t>Recruitment</t>
  </si>
  <si>
    <t>Recruitment - Details</t>
  </si>
  <si>
    <t>Sales</t>
  </si>
  <si>
    <t>Revenue</t>
  </si>
  <si>
    <t>Revenue - Details</t>
  </si>
  <si>
    <t>Income</t>
  </si>
  <si>
    <t>IT</t>
  </si>
  <si>
    <t>Hardware</t>
  </si>
  <si>
    <t>Hardware - Details</t>
  </si>
  <si>
    <t>Finance</t>
  </si>
  <si>
    <t>Loan</t>
  </si>
  <si>
    <t>Loan - Details</t>
  </si>
  <si>
    <t>Investment</t>
  </si>
  <si>
    <t>Investment - Details</t>
  </si>
  <si>
    <t>Incentive</t>
  </si>
  <si>
    <t>Incentive - Details</t>
  </si>
  <si>
    <t>Consulting</t>
  </si>
  <si>
    <t>Consulting - Details</t>
  </si>
  <si>
    <t>Admin</t>
  </si>
  <si>
    <t>Maintenance</t>
  </si>
  <si>
    <t>Maintenance - Details</t>
  </si>
  <si>
    <t>Utilities</t>
  </si>
  <si>
    <t>Utilities - Details</t>
  </si>
  <si>
    <t>Software</t>
  </si>
  <si>
    <t>Software - Details</t>
  </si>
  <si>
    <t>Interest</t>
  </si>
  <si>
    <t>Interest - Details</t>
  </si>
  <si>
    <t>Office Supplies</t>
  </si>
  <si>
    <t>Office Supplies - Details</t>
  </si>
  <si>
    <t>Training</t>
  </si>
  <si>
    <t>Training - Details</t>
  </si>
  <si>
    <t>Commission</t>
  </si>
  <si>
    <t>Commission - Details</t>
  </si>
  <si>
    <t>Select Department:</t>
  </si>
  <si>
    <t>Net Profit:</t>
  </si>
  <si>
    <t>Total Expense</t>
  </si>
  <si>
    <t>Total Income</t>
  </si>
  <si>
    <t>Investments</t>
  </si>
  <si>
    <t>Investments - Details</t>
  </si>
  <si>
    <t>Rent</t>
  </si>
  <si>
    <t>Rent - Details</t>
  </si>
  <si>
    <t>Bank Charges</t>
  </si>
  <si>
    <t>Bank Charges - Details</t>
  </si>
  <si>
    <t>Salaries</t>
  </si>
  <si>
    <t>Salaries - Details</t>
  </si>
  <si>
    <t>Discounts</t>
  </si>
  <si>
    <t>Discounts - Details</t>
  </si>
  <si>
    <r>
      <rPr>
        <b/>
        <u/>
        <sz val="15"/>
        <color rgb="FFC00000"/>
        <rFont val="Times New Roman"/>
        <family val="1"/>
      </rPr>
      <t>Topic:</t>
    </r>
    <r>
      <rPr>
        <sz val="18"/>
        <color rgb="FF002060"/>
        <rFont val="Times New Roman"/>
        <family val="1"/>
      </rPr>
      <t xml:space="preserve"> </t>
    </r>
    <r>
      <rPr>
        <b/>
        <u/>
        <sz val="13"/>
        <color rgb="FF002060"/>
        <rFont val="Times New Roman"/>
        <family val="1"/>
      </rPr>
      <t>Dynamic Financial Reporting &amp; Analysis System with VBA Automation</t>
    </r>
  </si>
  <si>
    <t>Dynamic Financial Reporting &amp; Analysis System With VBA Automation</t>
  </si>
  <si>
    <r>
      <rPr>
        <b/>
        <u/>
        <sz val="15"/>
        <color rgb="FFC00000"/>
        <rFont val="Times New Roman"/>
        <family val="1"/>
      </rPr>
      <t>Introduction:</t>
    </r>
    <r>
      <rPr>
        <sz val="13"/>
        <color theme="1"/>
        <rFont val="Times New Roman"/>
        <family val="1"/>
      </rPr>
      <t xml:space="preserve">  This project develops a dynamic financial reporting and analysis system in Excel using VBA. The goal is to automate report creation, ensure data accuracy, generate or export clean &amp; professional reports.</t>
    </r>
  </si>
  <si>
    <t>Row Labels</t>
  </si>
  <si>
    <t>Grand Total</t>
  </si>
  <si>
    <t>Column Labels</t>
  </si>
  <si>
    <t>Sum of Amount</t>
  </si>
  <si>
    <t>Quarter_Num</t>
  </si>
  <si>
    <t>Report Generation</t>
  </si>
  <si>
    <t>Select Quarter No:</t>
  </si>
  <si>
    <t>Report Visualisation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</si>
</sst>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_ * #,##0_ ;_ * \-#,##0_ ;_ * &quot;-&quot;??_ ;_ @_ "/>
    <numFmt numFmtId="165" formatCode="_ &quot;₹&quot;\ * #,##0_ ;_ &quot;₹&quot;\ * \-#,##0_ ;_ &quot;₹&quot;\ * &quot;-&quot;??_ ;_ @_ "/>
    <numFmt numFmtId="166" formatCode="&quot;₹&quot;\ #,##0"/>
    <numFmt numFmtId="167" formatCode="?#,##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rgb="FFFF0000"/>
      <name val="Times New Roman"/>
      <family val="1"/>
    </font>
    <font>
      <b/>
      <u/>
      <sz val="15"/>
      <color rgb="FFC00000"/>
      <name val="Times New Roman"/>
      <family val="1"/>
    </font>
    <font>
      <sz val="13"/>
      <color theme="1"/>
      <name val="Times New Roman"/>
      <family val="1"/>
    </font>
    <font>
      <sz val="15"/>
      <color rgb="FFC00000"/>
      <name val="Times New Roman"/>
      <family val="1"/>
    </font>
    <font>
      <b/>
      <u/>
      <sz val="14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u/>
      <sz val="18"/>
      <color rgb="FF002060"/>
      <name val="Times New Roman"/>
      <family val="1"/>
    </font>
    <font>
      <sz val="18"/>
      <color rgb="FF002060"/>
      <name val="Times New Roman"/>
      <family val="1"/>
    </font>
    <font>
      <b/>
      <u/>
      <sz val="13"/>
      <color rgb="FF002060"/>
      <name val="Times New Roman"/>
      <family val="1"/>
    </font>
    <font>
      <b/>
      <sz val="11"/>
      <color theme="1"/>
      <name val="Times New Roman"/>
      <family val="1"/>
    </font>
    <font>
      <sz val="16"/>
      <color rgb="FFC00000"/>
      <name val="Times New Roman"/>
      <family val="1"/>
    </font>
    <font>
      <b/>
      <u/>
      <sz val="16"/>
      <color rgb="FFC00000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 tint="4.9989318521683403E-2"/>
      <name val="Times New Roman"/>
      <family val="1"/>
    </font>
    <font>
      <b/>
      <i/>
      <u/>
      <sz val="18"/>
      <color rgb="FF0000FF"/>
      <name val="Times New Roman"/>
      <family val="1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6"/>
      <color theme="1"/>
      <name val="Times New Roman"/>
      <family val="1"/>
    </font>
    <font>
      <b/>
      <u/>
      <sz val="2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wrapText="1"/>
    </xf>
    <xf numFmtId="0" fontId="3" fillId="2" borderId="2" xfId="0" applyFont="1" applyFill="1" applyBorder="1" applyAlignment="1">
      <alignment vertical="top"/>
    </xf>
    <xf numFmtId="0" fontId="4" fillId="2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center" wrapText="1"/>
    </xf>
    <xf numFmtId="14" fontId="0" fillId="0" borderId="10" xfId="0" applyNumberFormat="1" applyBorder="1"/>
    <xf numFmtId="14" fontId="0" fillId="0" borderId="10" xfId="0" applyNumberFormat="1" applyBorder="1" applyAlignment="1">
      <alignment vertical="center" wrapText="1"/>
    </xf>
    <xf numFmtId="1" fontId="0" fillId="0" borderId="2" xfId="0" applyNumberFormat="1" applyBorder="1"/>
    <xf numFmtId="0" fontId="1" fillId="0" borderId="7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2" fontId="1" fillId="0" borderId="6" xfId="0" applyNumberFormat="1" applyFont="1" applyFill="1" applyBorder="1" applyAlignment="1">
      <alignment horizontal="center" vertical="top"/>
    </xf>
    <xf numFmtId="14" fontId="0" fillId="0" borderId="4" xfId="0" applyNumberForma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" fontId="0" fillId="0" borderId="3" xfId="0" applyNumberFormat="1" applyBorder="1"/>
    <xf numFmtId="166" fontId="1" fillId="0" borderId="11" xfId="0" applyNumberFormat="1" applyFont="1" applyBorder="1" applyAlignment="1">
      <alignment horizontal="center" vertical="top"/>
    </xf>
    <xf numFmtId="166" fontId="0" fillId="0" borderId="1" xfId="1" applyNumberFormat="1" applyFont="1" applyBorder="1" applyAlignment="1">
      <alignment vertical="center" wrapText="1"/>
    </xf>
    <xf numFmtId="166" fontId="0" fillId="0" borderId="1" xfId="1" applyNumberFormat="1" applyFont="1" applyBorder="1"/>
    <xf numFmtId="166" fontId="0" fillId="0" borderId="12" xfId="1" applyNumberFormat="1" applyFont="1" applyBorder="1" applyAlignment="1">
      <alignment vertical="center" wrapText="1"/>
    </xf>
    <xf numFmtId="166" fontId="0" fillId="0" borderId="0" xfId="0" applyNumberFormat="1"/>
    <xf numFmtId="166" fontId="8" fillId="0" borderId="0" xfId="0" applyNumberFormat="1" applyFont="1"/>
    <xf numFmtId="166" fontId="8" fillId="0" borderId="0" xfId="0" pivotButton="1" applyNumberFormat="1" applyFont="1"/>
    <xf numFmtId="166" fontId="8" fillId="0" borderId="0" xfId="0" applyNumberFormat="1" applyFont="1" applyAlignment="1">
      <alignment horizontal="left"/>
    </xf>
    <xf numFmtId="165" fontId="8" fillId="0" borderId="0" xfId="0" applyNumberFormat="1" applyFont="1"/>
    <xf numFmtId="0" fontId="8" fillId="0" borderId="0" xfId="0" applyFont="1"/>
    <xf numFmtId="4" fontId="8" fillId="0" borderId="0" xfId="0" applyNumberFormat="1" applyFont="1"/>
    <xf numFmtId="0" fontId="12" fillId="0" borderId="1" xfId="0" applyFont="1" applyBorder="1"/>
    <xf numFmtId="14" fontId="8" fillId="0" borderId="1" xfId="0" applyNumberFormat="1" applyFont="1" applyBorder="1"/>
    <xf numFmtId="0" fontId="8" fillId="0" borderId="1" xfId="0" applyFont="1" applyBorder="1"/>
    <xf numFmtId="167" fontId="8" fillId="0" borderId="1" xfId="0" applyNumberFormat="1" applyFont="1" applyBorder="1"/>
    <xf numFmtId="0" fontId="8" fillId="4" borderId="0" xfId="0" applyFont="1" applyFill="1"/>
    <xf numFmtId="0" fontId="13" fillId="4" borderId="0" xfId="0" applyFont="1" applyFill="1" applyAlignment="1">
      <alignment horizontal="center" vertical="center"/>
    </xf>
    <xf numFmtId="0" fontId="8" fillId="4" borderId="4" xfId="0" applyFont="1" applyFill="1" applyBorder="1"/>
    <xf numFmtId="0" fontId="8" fillId="4" borderId="5" xfId="0" applyFont="1" applyFill="1" applyBorder="1"/>
    <xf numFmtId="0" fontId="8" fillId="4" borderId="6" xfId="0" applyFont="1" applyFill="1" applyBorder="1"/>
    <xf numFmtId="0" fontId="8" fillId="4" borderId="8" xfId="0" applyFont="1" applyFill="1" applyBorder="1"/>
    <xf numFmtId="0" fontId="8" fillId="4" borderId="7" xfId="0" applyFont="1" applyFill="1" applyBorder="1"/>
    <xf numFmtId="0" fontId="8" fillId="4" borderId="0" xfId="0" applyFont="1" applyFill="1" applyBorder="1"/>
    <xf numFmtId="0" fontId="8" fillId="4" borderId="3" xfId="0" applyFont="1" applyFill="1" applyBorder="1"/>
    <xf numFmtId="0" fontId="8" fillId="4" borderId="13" xfId="0" applyFont="1" applyFill="1" applyBorder="1"/>
    <xf numFmtId="0" fontId="8" fillId="4" borderId="14" xfId="0" applyFont="1" applyFill="1" applyBorder="1"/>
    <xf numFmtId="0" fontId="2" fillId="4" borderId="0" xfId="0" applyFont="1" applyFill="1" applyBorder="1" applyAlignment="1">
      <alignment vertical="center"/>
    </xf>
    <xf numFmtId="0" fontId="14" fillId="4" borderId="0" xfId="0" applyFont="1" applyFill="1" applyBorder="1" applyAlignment="1">
      <alignment vertical="center"/>
    </xf>
    <xf numFmtId="0" fontId="2" fillId="4" borderId="13" xfId="0" applyFont="1" applyFill="1" applyBorder="1" applyAlignment="1">
      <alignment vertical="center"/>
    </xf>
    <xf numFmtId="0" fontId="14" fillId="4" borderId="13" xfId="0" applyFont="1" applyFill="1" applyBorder="1" applyAlignment="1">
      <alignment vertical="center"/>
    </xf>
    <xf numFmtId="0" fontId="6" fillId="3" borderId="11" xfId="0" applyFont="1" applyFill="1" applyBorder="1" applyAlignment="1">
      <alignment vertical="top"/>
    </xf>
    <xf numFmtId="0" fontId="6" fillId="3" borderId="1" xfId="0" applyFont="1" applyFill="1" applyBorder="1" applyAlignment="1">
      <alignment vertical="top"/>
    </xf>
    <xf numFmtId="0" fontId="6" fillId="3" borderId="1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17" fillId="4" borderId="1" xfId="0" applyFont="1" applyFill="1" applyBorder="1"/>
    <xf numFmtId="166" fontId="8" fillId="4" borderId="1" xfId="1" applyNumberFormat="1" applyFont="1" applyFill="1" applyBorder="1"/>
    <xf numFmtId="0" fontId="15" fillId="4" borderId="6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166" fontId="15" fillId="4" borderId="1" xfId="1" applyNumberFormat="1" applyFont="1" applyFill="1" applyBorder="1" applyAlignment="1">
      <alignment horizontal="center" vertical="center"/>
    </xf>
    <xf numFmtId="165" fontId="16" fillId="4" borderId="1" xfId="0" applyNumberFormat="1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left" vertical="center" indent="2"/>
    </xf>
    <xf numFmtId="0" fontId="22" fillId="4" borderId="2" xfId="0" applyFont="1" applyFill="1" applyBorder="1" applyAlignment="1">
      <alignment horizontal="left" vertical="center" indent="2"/>
    </xf>
  </cellXfs>
  <cellStyles count="2">
    <cellStyle name="Comma" xfId="1" builtinId="3"/>
    <cellStyle name="Normal" xfId="0" builtinId="0"/>
  </cellStyles>
  <dxfs count="51">
    <dxf>
      <font>
        <strike val="0"/>
        <color theme="5" tint="0.79998168889431442"/>
      </font>
      <fill>
        <patternFill>
          <bgColor theme="5" tint="0.79998168889431442"/>
        </patternFill>
      </fill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numFmt numFmtId="165" formatCode="_ &quot;₹&quot;\ * #,##0_ ;_ &quot;₹&quot;\ * \-#,##0_ ;_ &quot;₹&quot;\ * &quot;-&quot;??_ ;_ @_ 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66" formatCode="&quot;₹&quot;\ #,##0"/>
    </dxf>
    <dxf>
      <numFmt numFmtId="1" formatCode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₹&quot;\ #,##0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00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sng" baseline="0">
                <a:solidFill>
                  <a:schemeClr val="tx1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Income Vs Expense </a:t>
            </a:r>
            <a:endParaRPr lang="en-IN" sz="1400">
              <a:solidFill>
                <a:schemeClr val="tx1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CC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5D7-47CD-902E-5845F08237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Dashboard!$A$7:$A$8</c:f>
              <c:strCache>
                <c:ptCount val="2"/>
                <c:pt idx="0">
                  <c:v>Total Income</c:v>
                </c:pt>
                <c:pt idx="1">
                  <c:v>Total Expense</c:v>
                </c:pt>
              </c:strCache>
            </c:strRef>
          </c:cat>
          <c:val>
            <c:numRef>
              <c:f>Dashboard!$B$7:$B$8</c:f>
              <c:numCache>
                <c:formatCode>"₹"\ #,##0</c:formatCode>
                <c:ptCount val="2"/>
                <c:pt idx="0">
                  <c:v>88484</c:v>
                </c:pt>
                <c:pt idx="1">
                  <c:v>237346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7-47CD-902E-5845F082375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62852640"/>
        <c:axId val="462853056"/>
      </c:barChart>
      <c:catAx>
        <c:axId val="46285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sng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2853056"/>
        <c:crosses val="autoZero"/>
        <c:auto val="1"/>
        <c:lblAlgn val="ctr"/>
        <c:lblOffset val="100"/>
        <c:noMultiLvlLbl val="0"/>
      </c:catAx>
      <c:valAx>
        <c:axId val="46285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₹&quot;\ #,##0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62852640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[Hardik_Project1.xlsm]Pivot_Table_Data!PivotTable1</c:name>
    <c:fmtId val="7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t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0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Pivot_Table_Data!$B$3:$B$4</c:f>
              <c:strCache>
                <c:ptCount val="1"/>
                <c:pt idx="0">
                  <c:v>Admin</c:v>
                </c:pt>
              </c:strCache>
            </c:strRef>
          </c:tx>
          <c:spPr>
            <a:solidFill>
              <a:schemeClr val="accent4">
                <a:shade val="53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Pivot_Table_Data!$A$5:$A$7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Pivot_Table_Data!$B$5:$B$7</c:f>
              <c:numCache>
                <c:formatCode>"₹"\ #,##0</c:formatCode>
                <c:ptCount val="2"/>
                <c:pt idx="1">
                  <c:v>2516634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A45-8055-787F91511B44}"/>
            </c:ext>
          </c:extLst>
        </c:ser>
        <c:ser>
          <c:idx val="1"/>
          <c:order val="1"/>
          <c:tx>
            <c:strRef>
              <c:f>Pivot_Table_Data!$C$3:$C$4</c:f>
              <c:strCache>
                <c:ptCount val="1"/>
                <c:pt idx="0">
                  <c:v>Finance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Pivot_Table_Data!$A$5:$A$7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Pivot_Table_Data!$C$5:$C$7</c:f>
              <c:numCache>
                <c:formatCode>"₹"\ #,##0</c:formatCode>
                <c:ptCount val="2"/>
                <c:pt idx="0">
                  <c:v>5786962</c:v>
                </c:pt>
                <c:pt idx="1">
                  <c:v>724798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FA-4A45-8055-787F91511B44}"/>
            </c:ext>
          </c:extLst>
        </c:ser>
        <c:ser>
          <c:idx val="2"/>
          <c:order val="2"/>
          <c:tx>
            <c:strRef>
              <c:f>Pivot_Table_Data!$D$3:$D$4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Pivot_Table_Data!$A$5:$A$7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Pivot_Table_Data!$D$5:$D$7</c:f>
              <c:numCache>
                <c:formatCode>"₹"\ #,##0</c:formatCode>
                <c:ptCount val="2"/>
                <c:pt idx="1">
                  <c:v>2370086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FA-4A45-8055-787F91511B44}"/>
            </c:ext>
          </c:extLst>
        </c:ser>
        <c:ser>
          <c:idx val="3"/>
          <c:order val="3"/>
          <c:tx>
            <c:strRef>
              <c:f>Pivot_Table_Data!$E$3:$E$4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Pivot_Table_Data!$A$5:$A$7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Pivot_Table_Data!$E$5:$E$7</c:f>
              <c:numCache>
                <c:formatCode>"₹"\ #,##0</c:formatCode>
                <c:ptCount val="2"/>
                <c:pt idx="1">
                  <c:v>2503029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FA-4A45-8055-787F91511B44}"/>
            </c:ext>
          </c:extLst>
        </c:ser>
        <c:ser>
          <c:idx val="4"/>
          <c:order val="4"/>
          <c:tx>
            <c:strRef>
              <c:f>Pivot_Table_Data!$F$3:$F$4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4">
                <a:tint val="54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Pivot_Table_Data!$A$5:$A$7</c:f>
              <c:strCache>
                <c:ptCount val="2"/>
                <c:pt idx="0">
                  <c:v>Income</c:v>
                </c:pt>
                <c:pt idx="1">
                  <c:v>Expense</c:v>
                </c:pt>
              </c:strCache>
            </c:strRef>
          </c:cat>
          <c:val>
            <c:numRef>
              <c:f>Pivot_Table_Data!$F$5:$F$7</c:f>
              <c:numCache>
                <c:formatCode>"₹"\ #,##0</c:formatCode>
                <c:ptCount val="2"/>
                <c:pt idx="0">
                  <c:v>4801964</c:v>
                </c:pt>
                <c:pt idx="1">
                  <c:v>976172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FA-4A45-8055-787F91511B4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16461184"/>
        <c:axId val="1316457440"/>
      </c:barChart>
      <c:catAx>
        <c:axId val="131646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16457440"/>
        <c:crosses val="autoZero"/>
        <c:auto val="1"/>
        <c:lblAlgn val="ctr"/>
        <c:lblOffset val="100"/>
        <c:noMultiLvlLbl val="0"/>
      </c:catAx>
      <c:valAx>
        <c:axId val="131645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₹&quot;\ #,##0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316461184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31063205220978996"/>
          <c:y val="0.82741278133646734"/>
          <c:w val="0.49770261968876883"/>
          <c:h val="9.810881013378879E-2"/>
        </c:manualLayout>
      </c:layout>
      <c:overlay val="0"/>
      <c:spPr>
        <a:noFill/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u="sng"/>
              <a:t>Expense Disribution</a:t>
            </a:r>
          </a:p>
        </c:rich>
      </c:tx>
      <c:overlay val="0"/>
      <c:spPr>
        <a:solidFill>
          <a:schemeClr val="accent1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Dashboard!$E$5</c:f>
              <c:strCache>
                <c:ptCount val="1"/>
                <c:pt idx="0">
                  <c:v>Total Expense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04-47D1-999B-76DBFCAEAD9E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04-47D1-999B-76DBFCAEAD9E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04-47D1-999B-76DBFCAEAD9E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04-47D1-999B-76DBFCAEAD9E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04-47D1-999B-76DBFCAEAD9E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604-47D1-999B-76DBFCAEAD9E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604-47D1-999B-76DBFCAEAD9E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604-47D1-999B-76DBFCAEAD9E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604-47D1-999B-76DBFCAEAD9E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DD-4AD5-8F66-5DEC2C3F636C}"/>
              </c:ext>
            </c:extLst>
          </c:dPt>
          <c:dPt>
            <c:idx val="10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604-47D1-999B-76DBFCAEAD9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604-47D1-999B-76DBFCAEAD9E}"/>
              </c:ext>
            </c:extLst>
          </c:dPt>
          <c:dPt>
            <c:idx val="1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604-47D1-999B-76DBFCAEAD9E}"/>
              </c:ext>
            </c:extLst>
          </c:dPt>
          <c:dPt>
            <c:idx val="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604-47D1-999B-76DBFCAEAD9E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CDD-4AD5-8F66-5DEC2C3F636C}"/>
              </c:ext>
            </c:extLst>
          </c:dPt>
          <c:dPt>
            <c:idx val="1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604-47D1-999B-76DBFCAEAD9E}"/>
              </c:ext>
            </c:extLst>
          </c:dPt>
          <c:dLbls>
            <c:dLbl>
              <c:idx val="7"/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69367306395013"/>
                      <c:h val="0.2151873111423707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0604-47D1-999B-76DBFCAEAD9E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20314521070189"/>
                      <c:h val="0.204197807821067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CDD-4AD5-8F66-5DEC2C3F636C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109661527797545"/>
                      <c:h val="0.2990522437284962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3CDD-4AD5-8F66-5DEC2C3F63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Dashboard!$D$6:$D$21</c:f>
              <c:strCache>
                <c:ptCount val="16"/>
                <c:pt idx="0">
                  <c:v>Recruitment</c:v>
                </c:pt>
                <c:pt idx="1">
                  <c:v>Training</c:v>
                </c:pt>
                <c:pt idx="2">
                  <c:v>Utilities</c:v>
                </c:pt>
                <c:pt idx="3">
                  <c:v>Salary</c:v>
                </c:pt>
                <c:pt idx="4">
                  <c:v>Office Supplies</c:v>
                </c:pt>
                <c:pt idx="5">
                  <c:v>Rent</c:v>
                </c:pt>
                <c:pt idx="6">
                  <c:v>Software</c:v>
                </c:pt>
                <c:pt idx="7">
                  <c:v>Investment</c:v>
                </c:pt>
                <c:pt idx="8">
                  <c:v>Consulting</c:v>
                </c:pt>
                <c:pt idx="9">
                  <c:v>Commission</c:v>
                </c:pt>
                <c:pt idx="10">
                  <c:v>Loan</c:v>
                </c:pt>
                <c:pt idx="11">
                  <c:v>Maintenance</c:v>
                </c:pt>
                <c:pt idx="12">
                  <c:v>Hardware</c:v>
                </c:pt>
                <c:pt idx="13">
                  <c:v>Bank Charges</c:v>
                </c:pt>
                <c:pt idx="14">
                  <c:v>Discounts</c:v>
                </c:pt>
                <c:pt idx="15">
                  <c:v>Salaries</c:v>
                </c:pt>
              </c:strCache>
            </c:strRef>
          </c:cat>
          <c:val>
            <c:numRef>
              <c:f>Dashboard!$E$6:$E$21</c:f>
              <c:numCache>
                <c:formatCode>"₹"\ #,##0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102506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134840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D-4AD5-8F66-5DEC2C3F636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9</xdr:row>
      <xdr:rowOff>109537</xdr:rowOff>
    </xdr:from>
    <xdr:to>
      <xdr:col>2</xdr:col>
      <xdr:colOff>361950</xdr:colOff>
      <xdr:row>21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22</xdr:row>
          <xdr:rowOff>47625</xdr:rowOff>
        </xdr:from>
        <xdr:to>
          <xdr:col>1</xdr:col>
          <xdr:colOff>1304925</xdr:colOff>
          <xdr:row>24</xdr:row>
          <xdr:rowOff>161925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1" u="sng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22</xdr:row>
          <xdr:rowOff>47625</xdr:rowOff>
        </xdr:from>
        <xdr:to>
          <xdr:col>4</xdr:col>
          <xdr:colOff>1438275</xdr:colOff>
          <xdr:row>24</xdr:row>
          <xdr:rowOff>142875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3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1" u="sng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22</xdr:row>
          <xdr:rowOff>66675</xdr:rowOff>
        </xdr:from>
        <xdr:to>
          <xdr:col>10</xdr:col>
          <xdr:colOff>581025</xdr:colOff>
          <xdr:row>24</xdr:row>
          <xdr:rowOff>142875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3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1" u="sng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Export Report to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95251</xdr:colOff>
      <xdr:row>4</xdr:row>
      <xdr:rowOff>57148</xdr:rowOff>
    </xdr:from>
    <xdr:to>
      <xdr:col>19</xdr:col>
      <xdr:colOff>539751</xdr:colOff>
      <xdr:row>24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114300</xdr:colOff>
      <xdr:row>4</xdr:row>
      <xdr:rowOff>119061</xdr:rowOff>
    </xdr:from>
    <xdr:to>
      <xdr:col>11</xdr:col>
      <xdr:colOff>508000</xdr:colOff>
      <xdr:row>21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11899</xdr:colOff>
      <xdr:row>4</xdr:row>
      <xdr:rowOff>95245</xdr:rowOff>
    </xdr:from>
    <xdr:to>
      <xdr:col>19</xdr:col>
      <xdr:colOff>273841</xdr:colOff>
      <xdr:row>5</xdr:row>
      <xdr:rowOff>130968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95DB80-DD6B-5D49-0BA0-5CAF4990D937}"/>
            </a:ext>
          </a:extLst>
        </xdr:cNvPr>
        <xdr:cNvSpPr txBox="1"/>
      </xdr:nvSpPr>
      <xdr:spPr>
        <a:xfrm>
          <a:off x="12394399" y="988214"/>
          <a:ext cx="3298036" cy="29766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0" u="sng">
              <a:latin typeface="Times New Roman" panose="02020603050405020304" pitchFamily="18" charset="0"/>
              <a:cs typeface="Times New Roman" panose="02020603050405020304" pitchFamily="18" charset="0"/>
            </a:rPr>
            <a:t>Department-Wise</a:t>
          </a:r>
          <a:r>
            <a:rPr lang="en-IN" sz="1400" b="0" u="sng" baseline="0">
              <a:latin typeface="Times New Roman" panose="02020603050405020304" pitchFamily="18" charset="0"/>
              <a:cs typeface="Times New Roman" panose="02020603050405020304" pitchFamily="18" charset="0"/>
            </a:rPr>
            <a:t> Comparison</a:t>
          </a:r>
          <a:endParaRPr lang="en-IN" sz="1400" b="0" u="sng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an" refreshedDate="45772.969812962961" createdVersion="8" refreshedVersion="8" minRefreshableVersion="3" recordCount="499" xr:uid="{50D3007E-2954-4EAE-BA92-D37DB834A682}">
  <cacheSource type="worksheet">
    <worksheetSource name="Table1"/>
  </cacheSource>
  <cacheFields count="11">
    <cacheField name="Date" numFmtId="14">
      <sharedItems containsSemiMixedTypes="0" containsNonDate="0" containsDate="1" containsString="0" minDate="2024-01-01T00:00:00" maxDate="2025-01-01T00:00:00" count="236">
        <d v="2024-01-01T00:00:00"/>
        <d v="2024-01-02T00:00:00"/>
        <d v="2024-01-03T00:00:00"/>
        <d v="2024-01-05T00:00:00"/>
        <d v="2024-01-06T00:00:00"/>
        <d v="2024-01-07T00:00:00"/>
        <d v="2024-01-08T00:00:00"/>
        <d v="2024-01-09T00:00:00"/>
        <d v="2024-01-10T00:00:00"/>
        <d v="2024-01-12T00:00:00"/>
        <d v="2024-01-13T00:00:00"/>
        <d v="2024-01-14T00:00:00"/>
        <d v="2024-01-15T00:00:00"/>
        <d v="2024-01-18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2T00:00:00"/>
        <d v="2024-02-03T00:00:00"/>
        <d v="2024-02-04T00:00:00"/>
        <d v="2024-02-05T00:00:00"/>
        <d v="2024-02-06T00:00:00"/>
        <d v="2024-02-07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1T00:00:00"/>
        <d v="2024-02-22T00:00:00"/>
        <d v="2024-03-01T00:00:00"/>
        <d v="2024-03-02T00:00:00"/>
        <d v="2024-03-03T00:00:00"/>
        <d v="2024-03-04T00:00:00"/>
        <d v="2024-03-06T00:00:00"/>
        <d v="2024-03-11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8T00:00:00"/>
        <d v="2024-03-30T00:00:00"/>
        <d v="2024-03-31T00:00:00"/>
        <d v="2024-04-01T00:00:00"/>
        <d v="2024-04-03T00:00:00"/>
        <d v="2024-04-04T00:00:00"/>
        <d v="2024-04-06T00:00:00"/>
        <d v="2024-04-08T00:00:00"/>
        <d v="2024-04-11T00:00:00"/>
        <d v="2024-04-12T00:00:00"/>
        <d v="2024-04-13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5-01T00:00:00"/>
        <d v="2024-05-05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7T00:00:00"/>
        <d v="2024-06-12T00:00:00"/>
        <d v="2024-06-15T00:00:00"/>
        <d v="2024-06-16T00:00:00"/>
        <d v="2024-06-18T00:00:00"/>
        <d v="2024-06-19T00:00:00"/>
        <d v="2024-06-21T00:00:00"/>
        <d v="2024-06-22T00:00:00"/>
        <d v="2024-06-23T00:00:00"/>
        <d v="2024-06-25T00:00:00"/>
        <d v="2024-06-26T00:00:00"/>
        <d v="2024-06-27T00:00:00"/>
        <d v="2024-06-28T00:00:00"/>
        <d v="2024-06-29T00:00:00"/>
        <d v="2024-06-30T00:00:00"/>
        <d v="2024-07-01T00:00:00"/>
        <d v="2024-07-02T00:00:00"/>
        <d v="2024-07-03T00:00:00"/>
        <d v="2024-07-04T00:00:00"/>
        <d v="2024-07-06T00:00:00"/>
        <d v="2024-07-08T00:00:00"/>
        <d v="2024-07-09T00:00:00"/>
        <d v="2024-07-10T00:00:00"/>
        <d v="2024-07-11T00:00:00"/>
        <d v="2024-07-12T00:00:00"/>
        <d v="2024-07-13T00:00:00"/>
        <d v="2024-07-14T00:00:00"/>
        <d v="2024-07-15T00:00:00"/>
        <d v="2024-07-16T00:00:00"/>
        <d v="2024-07-17T00:00:00"/>
        <d v="2024-07-18T00:00:00"/>
        <d v="2024-07-22T00:00:00"/>
        <d v="2024-07-23T00:00:00"/>
        <d v="2024-07-25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2T00:00:00"/>
        <d v="2024-08-14T00:00:00"/>
        <d v="2024-08-17T00:00:00"/>
        <d v="2024-08-18T00:00:00"/>
        <d v="2024-08-19T00:00:00"/>
        <d v="2024-08-21T00:00:00"/>
        <d v="2024-08-24T00:00:00"/>
        <d v="2024-08-29T00:00:00"/>
        <d v="2024-08-30T00:00:00"/>
        <d v="2024-09-01T00:00:00"/>
        <d v="2024-09-07T00:00:00"/>
        <d v="2024-09-13T00:00:00"/>
        <d v="2024-09-15T00:00:00"/>
        <d v="2024-09-16T00:00:00"/>
        <d v="2024-09-18T00:00:00"/>
        <d v="2024-09-19T00:00:00"/>
        <d v="2024-09-21T00:00:00"/>
        <d v="2024-09-22T00:00:00"/>
        <d v="2024-09-23T00:00:00"/>
        <d v="2024-09-25T00:00:00"/>
        <d v="2024-09-28T00:00:00"/>
        <d v="2024-09-30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6T00:00:00"/>
        <d v="2024-10-19T00:00:00"/>
        <d v="2024-10-23T00:00:00"/>
        <d v="2024-10-24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11T00:00:00"/>
        <d v="2024-11-14T00:00:00"/>
        <d v="2024-11-15T00:00:00"/>
        <d v="2024-11-16T00:00:00"/>
        <d v="2024-11-18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3T00:00:00"/>
        <d v="2024-12-04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3T00:00:00"/>
        <d v="2024-12-14T00:00:00"/>
        <d v="2024-12-21T00:00:00"/>
        <d v="2024-12-26T00:00:00"/>
        <d v="2024-12-29T00:00:00"/>
        <d v="2024-12-31T00:00:00"/>
      </sharedItems>
      <fieldGroup par="8" base="0">
        <rangePr groupBy="months" startDate="2024-01-01T00:00:00" endDate="2025-01-01T00:00:00"/>
        <groupItems count="14">
          <s v="&lt;01-01-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1-2025"/>
        </groupItems>
      </fieldGroup>
    </cacheField>
    <cacheField name="Department" numFmtId="0">
      <sharedItems count="5">
        <s v="HR"/>
        <s v="Admin"/>
        <s v="IT"/>
        <s v="Sales"/>
        <s v="Finance"/>
      </sharedItems>
    </cacheField>
    <cacheField name="Category" numFmtId="0">
      <sharedItems/>
    </cacheField>
    <cacheField name="Description" numFmtId="0">
      <sharedItems/>
    </cacheField>
    <cacheField name="Amount" numFmtId="166">
      <sharedItems containsSemiMixedTypes="0" containsString="0" containsNumber="1" containsInteger="1" minValue="1116" maxValue="154200"/>
    </cacheField>
    <cacheField name="Type" numFmtId="0">
      <sharedItems count="2">
        <s v="Expense"/>
        <s v="Income"/>
      </sharedItems>
    </cacheField>
    <cacheField name="Quarter_Num" numFmtId="1">
      <sharedItems containsSemiMixedTypes="0" containsString="0" containsNumber="1" containsInteger="1" minValue="1" maxValue="4"/>
    </cacheField>
    <cacheField name="Quarters" numFmtId="0" databaseField="0">
      <fieldGroup base="0">
        <rangePr groupBy="quarters" startDate="2024-01-01T00:00:00" endDate="2025-01-01T00:00:00"/>
        <groupItems count="6">
          <s v="&lt;01-01-2024"/>
          <s v="Qtr1"/>
          <s v="Qtr2"/>
          <s v="Qtr3"/>
          <s v="Qtr4"/>
          <s v="&gt;01-01-2025"/>
        </groupItems>
      </fieldGroup>
    </cacheField>
    <cacheField name="Years" numFmtId="0" databaseField="0">
      <fieldGroup base="0">
        <rangePr groupBy="years" startDate="2024-01-01T00:00:00" endDate="2025-01-01T00:00:00"/>
        <groupItems count="4">
          <s v="&lt;01-01-2024"/>
          <s v="2024"/>
          <s v="2025"/>
          <s v="&gt;01-01-2025"/>
        </groupItems>
      </fieldGroup>
    </cacheField>
    <cacheField name="Net_Profit" numFmtId="0" formula="Amount* IF(Type=&quot;Income&quot;&amp;&quot;Expense&quot;, 1, -1)" databaseField="0"/>
    <cacheField name="NetProfit" numFmtId="0" formula=" &quot;Income&quot; - &quot;Expense&quot;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9">
  <r>
    <x v="0"/>
    <x v="0"/>
    <s v="Recruitment"/>
    <s v="Recruitment - Details"/>
    <n v="7820"/>
    <x v="0"/>
    <n v="1"/>
  </r>
  <r>
    <x v="1"/>
    <x v="0"/>
    <s v="Training"/>
    <s v="Training - Details"/>
    <n v="5780"/>
    <x v="0"/>
    <n v="1"/>
  </r>
  <r>
    <x v="2"/>
    <x v="1"/>
    <s v="Utilities"/>
    <s v="Utilities - Details"/>
    <n v="15670"/>
    <x v="0"/>
    <n v="1"/>
  </r>
  <r>
    <x v="2"/>
    <x v="0"/>
    <s v="Training"/>
    <s v="Training - Details"/>
    <n v="6040"/>
    <x v="0"/>
    <n v="1"/>
  </r>
  <r>
    <x v="3"/>
    <x v="1"/>
    <s v="Utilities"/>
    <s v="Utilities - Details"/>
    <n v="16450"/>
    <x v="0"/>
    <n v="1"/>
  </r>
  <r>
    <x v="4"/>
    <x v="0"/>
    <s v="Salary"/>
    <s v="Salary - Details"/>
    <n v="11776"/>
    <x v="0"/>
    <n v="1"/>
  </r>
  <r>
    <x v="4"/>
    <x v="1"/>
    <s v="Office Supplies"/>
    <s v="Office Supplies - Details"/>
    <n v="12490"/>
    <x v="0"/>
    <n v="1"/>
  </r>
  <r>
    <x v="4"/>
    <x v="1"/>
    <s v="Rent"/>
    <s v="Rent - Details"/>
    <n v="42200"/>
    <x v="0"/>
    <n v="1"/>
  </r>
  <r>
    <x v="5"/>
    <x v="1"/>
    <s v="Rent"/>
    <s v="Rent - Details"/>
    <n v="43500"/>
    <x v="0"/>
    <n v="1"/>
  </r>
  <r>
    <x v="6"/>
    <x v="1"/>
    <s v="Office Supplies"/>
    <s v="Office Supplies - Details"/>
    <n v="13640"/>
    <x v="0"/>
    <n v="1"/>
  </r>
  <r>
    <x v="6"/>
    <x v="1"/>
    <s v="Rent"/>
    <s v="Rent - Details"/>
    <n v="43000"/>
    <x v="0"/>
    <n v="1"/>
  </r>
  <r>
    <x v="7"/>
    <x v="1"/>
    <s v="Rent"/>
    <s v="Rent - Details"/>
    <n v="40700"/>
    <x v="0"/>
    <n v="1"/>
  </r>
  <r>
    <x v="8"/>
    <x v="1"/>
    <s v="Rent"/>
    <s v="Rent - Details"/>
    <n v="41900"/>
    <x v="0"/>
    <n v="1"/>
  </r>
  <r>
    <x v="9"/>
    <x v="1"/>
    <s v="Rent"/>
    <s v="Rent - Details"/>
    <n v="43700"/>
    <x v="0"/>
    <n v="1"/>
  </r>
  <r>
    <x v="9"/>
    <x v="1"/>
    <s v="Rent"/>
    <s v="Rent - Details"/>
    <n v="43600"/>
    <x v="0"/>
    <n v="1"/>
  </r>
  <r>
    <x v="9"/>
    <x v="1"/>
    <s v="Rent"/>
    <s v="Rent - Details"/>
    <n v="44200"/>
    <x v="0"/>
    <n v="1"/>
  </r>
  <r>
    <x v="9"/>
    <x v="1"/>
    <s v="Rent"/>
    <s v="Rent - Details"/>
    <n v="43900"/>
    <x v="0"/>
    <n v="1"/>
  </r>
  <r>
    <x v="10"/>
    <x v="1"/>
    <s v="Rent"/>
    <s v="Rent - Details"/>
    <n v="44000"/>
    <x v="0"/>
    <n v="1"/>
  </r>
  <r>
    <x v="10"/>
    <x v="1"/>
    <s v="Rent"/>
    <s v="Rent - Details"/>
    <n v="44400"/>
    <x v="0"/>
    <n v="1"/>
  </r>
  <r>
    <x v="10"/>
    <x v="1"/>
    <s v="Rent"/>
    <s v="Rent - Details"/>
    <n v="44100"/>
    <x v="0"/>
    <n v="1"/>
  </r>
  <r>
    <x v="10"/>
    <x v="1"/>
    <s v="Rent"/>
    <s v="Rent - Details"/>
    <n v="42900"/>
    <x v="0"/>
    <n v="1"/>
  </r>
  <r>
    <x v="10"/>
    <x v="1"/>
    <s v="Rent"/>
    <s v="Rent - Details"/>
    <n v="44700"/>
    <x v="0"/>
    <n v="1"/>
  </r>
  <r>
    <x v="10"/>
    <x v="1"/>
    <s v="Rent"/>
    <s v="Rent - Details"/>
    <n v="44800"/>
    <x v="0"/>
    <n v="1"/>
  </r>
  <r>
    <x v="11"/>
    <x v="0"/>
    <s v="Salary"/>
    <s v="Salary - Details"/>
    <n v="37591"/>
    <x v="0"/>
    <n v="1"/>
  </r>
  <r>
    <x v="11"/>
    <x v="1"/>
    <s v="Rent"/>
    <s v="Rent - Details"/>
    <n v="42300"/>
    <x v="0"/>
    <n v="1"/>
  </r>
  <r>
    <x v="11"/>
    <x v="1"/>
    <s v="Rent"/>
    <s v="Rent - Details"/>
    <n v="43800"/>
    <x v="0"/>
    <n v="1"/>
  </r>
  <r>
    <x v="11"/>
    <x v="1"/>
    <s v="Rent"/>
    <s v="Rent - Details"/>
    <n v="44100"/>
    <x v="0"/>
    <n v="1"/>
  </r>
  <r>
    <x v="12"/>
    <x v="1"/>
    <s v="Rent"/>
    <s v="Rent - Details"/>
    <n v="43000"/>
    <x v="0"/>
    <n v="1"/>
  </r>
  <r>
    <x v="13"/>
    <x v="0"/>
    <s v="Recruitment"/>
    <s v="Recruitment - Details"/>
    <n v="29583"/>
    <x v="0"/>
    <n v="1"/>
  </r>
  <r>
    <x v="14"/>
    <x v="1"/>
    <s v="Office Supplies"/>
    <s v="Office Supplies - Details"/>
    <n v="10190"/>
    <x v="0"/>
    <n v="1"/>
  </r>
  <r>
    <x v="15"/>
    <x v="1"/>
    <s v="Office Supplies"/>
    <s v="Office Supplies - Details"/>
    <n v="12050"/>
    <x v="0"/>
    <n v="1"/>
  </r>
  <r>
    <x v="16"/>
    <x v="1"/>
    <s v="Office Supplies"/>
    <s v="Office Supplies - Details"/>
    <n v="10260"/>
    <x v="0"/>
    <n v="1"/>
  </r>
  <r>
    <x v="16"/>
    <x v="1"/>
    <s v="Office Supplies"/>
    <s v="Office Supplies - Details"/>
    <n v="10580"/>
    <x v="0"/>
    <n v="1"/>
  </r>
  <r>
    <x v="17"/>
    <x v="2"/>
    <s v="Software"/>
    <s v="Software - Details"/>
    <n v="41549"/>
    <x v="0"/>
    <n v="1"/>
  </r>
  <r>
    <x v="17"/>
    <x v="1"/>
    <s v="Office Supplies"/>
    <s v="Office Supplies - Details"/>
    <n v="10490"/>
    <x v="0"/>
    <n v="1"/>
  </r>
  <r>
    <x v="17"/>
    <x v="1"/>
    <s v="Office Supplies"/>
    <s v="Office Supplies - Details"/>
    <n v="11280"/>
    <x v="0"/>
    <n v="1"/>
  </r>
  <r>
    <x v="17"/>
    <x v="1"/>
    <s v="Office Supplies"/>
    <s v="Office Supplies - Details"/>
    <n v="11690"/>
    <x v="0"/>
    <n v="1"/>
  </r>
  <r>
    <x v="18"/>
    <x v="3"/>
    <s v="Revenue"/>
    <s v="Revenue - Details"/>
    <n v="9877"/>
    <x v="1"/>
    <n v="1"/>
  </r>
  <r>
    <x v="18"/>
    <x v="1"/>
    <s v="Office Supplies"/>
    <s v="Office Supplies - Details"/>
    <n v="11120"/>
    <x v="0"/>
    <n v="1"/>
  </r>
  <r>
    <x v="19"/>
    <x v="4"/>
    <s v="Investment"/>
    <s v="Investment - Details"/>
    <n v="10008"/>
    <x v="0"/>
    <n v="1"/>
  </r>
  <r>
    <x v="19"/>
    <x v="1"/>
    <s v="Office Supplies"/>
    <s v="Office Supplies - Details"/>
    <n v="11750"/>
    <x v="0"/>
    <n v="1"/>
  </r>
  <r>
    <x v="19"/>
    <x v="1"/>
    <s v="Office Supplies"/>
    <s v="Office Supplies - Details"/>
    <n v="11400"/>
    <x v="0"/>
    <n v="1"/>
  </r>
  <r>
    <x v="20"/>
    <x v="1"/>
    <s v="Office Supplies"/>
    <s v="Office Supplies - Details"/>
    <n v="11990"/>
    <x v="0"/>
    <n v="1"/>
  </r>
  <r>
    <x v="20"/>
    <x v="1"/>
    <s v="Office Supplies"/>
    <s v="Office Supplies - Details"/>
    <n v="12250"/>
    <x v="0"/>
    <n v="1"/>
  </r>
  <r>
    <x v="20"/>
    <x v="1"/>
    <s v="Office Supplies"/>
    <s v="Office Supplies - Details"/>
    <n v="11700"/>
    <x v="0"/>
    <n v="1"/>
  </r>
  <r>
    <x v="21"/>
    <x v="0"/>
    <s v="Recruitment"/>
    <s v="Recruitment - Details"/>
    <n v="7340"/>
    <x v="0"/>
    <n v="1"/>
  </r>
  <r>
    <x v="21"/>
    <x v="0"/>
    <s v="Recruitment"/>
    <s v="Recruitment - Details"/>
    <n v="7220"/>
    <x v="0"/>
    <n v="1"/>
  </r>
  <r>
    <x v="21"/>
    <x v="1"/>
    <s v="Office Supplies"/>
    <s v="Office Supplies - Details"/>
    <n v="12100"/>
    <x v="0"/>
    <n v="1"/>
  </r>
  <r>
    <x v="21"/>
    <x v="1"/>
    <s v="Office Supplies"/>
    <s v="Office Supplies - Details"/>
    <n v="11050"/>
    <x v="0"/>
    <n v="1"/>
  </r>
  <r>
    <x v="21"/>
    <x v="1"/>
    <s v="Office Supplies"/>
    <s v="Office Supplies - Details"/>
    <n v="11350"/>
    <x v="0"/>
    <n v="1"/>
  </r>
  <r>
    <x v="21"/>
    <x v="1"/>
    <s v="Office Supplies"/>
    <s v="Office Supplies - Details"/>
    <n v="11800"/>
    <x v="0"/>
    <n v="1"/>
  </r>
  <r>
    <x v="21"/>
    <x v="1"/>
    <s v="Office Supplies"/>
    <s v="Office Supplies - Details"/>
    <n v="11500"/>
    <x v="0"/>
    <n v="1"/>
  </r>
  <r>
    <x v="22"/>
    <x v="0"/>
    <s v="Recruitment"/>
    <s v="Recruitment - Details"/>
    <n v="7840"/>
    <x v="0"/>
    <n v="1"/>
  </r>
  <r>
    <x v="22"/>
    <x v="0"/>
    <s v="Recruitment"/>
    <s v="Recruitment - Details"/>
    <n v="8010"/>
    <x v="0"/>
    <n v="1"/>
  </r>
  <r>
    <x v="22"/>
    <x v="0"/>
    <s v="Recruitment"/>
    <s v="Recruitment - Details"/>
    <n v="7980"/>
    <x v="0"/>
    <n v="1"/>
  </r>
  <r>
    <x v="22"/>
    <x v="1"/>
    <s v="Office Supplies"/>
    <s v="Office Supplies - Details"/>
    <n v="10900"/>
    <x v="0"/>
    <n v="1"/>
  </r>
  <r>
    <x v="22"/>
    <x v="1"/>
    <s v="Office Supplies"/>
    <s v="Office Supplies - Details"/>
    <n v="11200"/>
    <x v="0"/>
    <n v="1"/>
  </r>
  <r>
    <x v="23"/>
    <x v="0"/>
    <s v="Recruitment"/>
    <s v="Recruitment - Details"/>
    <n v="7580"/>
    <x v="0"/>
    <n v="1"/>
  </r>
  <r>
    <x v="23"/>
    <x v="1"/>
    <s v="Office Supplies"/>
    <s v="Office Supplies - Details"/>
    <n v="11900"/>
    <x v="0"/>
    <n v="1"/>
  </r>
  <r>
    <x v="23"/>
    <x v="1"/>
    <s v="Office Supplies"/>
    <s v="Office Supplies - Details"/>
    <n v="12000"/>
    <x v="0"/>
    <n v="1"/>
  </r>
  <r>
    <x v="24"/>
    <x v="2"/>
    <s v="Consulting"/>
    <s v="Consulting - Details"/>
    <n v="18844"/>
    <x v="0"/>
    <n v="1"/>
  </r>
  <r>
    <x v="24"/>
    <x v="0"/>
    <s v="Recruitment"/>
    <s v="Recruitment - Details"/>
    <n v="7750"/>
    <x v="0"/>
    <n v="1"/>
  </r>
  <r>
    <x v="25"/>
    <x v="3"/>
    <s v="Incentive"/>
    <s v="Incentive - Details"/>
    <n v="35046"/>
    <x v="1"/>
    <n v="1"/>
  </r>
  <r>
    <x v="25"/>
    <x v="0"/>
    <s v="Recruitment"/>
    <s v="Recruitment - Details"/>
    <n v="7120"/>
    <x v="0"/>
    <n v="1"/>
  </r>
  <r>
    <x v="26"/>
    <x v="0"/>
    <s v="Recruitment"/>
    <s v="Recruitment - Details"/>
    <n v="7760"/>
    <x v="0"/>
    <n v="1"/>
  </r>
  <r>
    <x v="27"/>
    <x v="0"/>
    <s v="Training"/>
    <s v="Training - Details"/>
    <n v="13630"/>
    <x v="0"/>
    <n v="1"/>
  </r>
  <r>
    <x v="27"/>
    <x v="0"/>
    <s v="Recruitment"/>
    <s v="Recruitment - Details"/>
    <n v="7850"/>
    <x v="0"/>
    <n v="1"/>
  </r>
  <r>
    <x v="27"/>
    <x v="0"/>
    <s v="Recruitment"/>
    <s v="Recruitment - Details"/>
    <n v="7820"/>
    <x v="0"/>
    <n v="1"/>
  </r>
  <r>
    <x v="27"/>
    <x v="0"/>
    <s v="Recruitment"/>
    <s v="Recruitment - Details"/>
    <n v="7610"/>
    <x v="0"/>
    <n v="1"/>
  </r>
  <r>
    <x v="28"/>
    <x v="0"/>
    <s v="Recruitment"/>
    <s v="Recruitment - Details"/>
    <n v="7200"/>
    <x v="0"/>
    <n v="1"/>
  </r>
  <r>
    <x v="28"/>
    <x v="0"/>
    <s v="Recruitment"/>
    <s v="Recruitment - Details"/>
    <n v="7480"/>
    <x v="0"/>
    <n v="1"/>
  </r>
  <r>
    <x v="28"/>
    <x v="0"/>
    <s v="Recruitment"/>
    <s v="Recruitment - Details"/>
    <n v="7680"/>
    <x v="0"/>
    <n v="1"/>
  </r>
  <r>
    <x v="28"/>
    <x v="0"/>
    <s v="Recruitment"/>
    <s v="Recruitment - Details"/>
    <n v="7590"/>
    <x v="0"/>
    <n v="1"/>
  </r>
  <r>
    <x v="29"/>
    <x v="0"/>
    <s v="Recruitment"/>
    <s v="Recruitment - Details"/>
    <n v="49354"/>
    <x v="0"/>
    <n v="1"/>
  </r>
  <r>
    <x v="29"/>
    <x v="1"/>
    <s v="Rent"/>
    <s v="Rent - Details"/>
    <n v="40250"/>
    <x v="0"/>
    <n v="1"/>
  </r>
  <r>
    <x v="29"/>
    <x v="0"/>
    <s v="Recruitment"/>
    <s v="Recruitment - Details"/>
    <n v="7650"/>
    <x v="0"/>
    <n v="1"/>
  </r>
  <r>
    <x v="29"/>
    <x v="0"/>
    <s v="Recruitment"/>
    <s v="Recruitment - Details"/>
    <n v="7510"/>
    <x v="0"/>
    <n v="1"/>
  </r>
  <r>
    <x v="29"/>
    <x v="0"/>
    <s v="Recruitment"/>
    <s v="Recruitment - Details"/>
    <n v="7750"/>
    <x v="0"/>
    <n v="1"/>
  </r>
  <r>
    <x v="29"/>
    <x v="0"/>
    <s v="Recruitment"/>
    <s v="Recruitment - Details"/>
    <n v="7420"/>
    <x v="0"/>
    <n v="1"/>
  </r>
  <r>
    <x v="30"/>
    <x v="3"/>
    <s v="Commission"/>
    <s v="Commission - Details"/>
    <n v="35116"/>
    <x v="0"/>
    <n v="1"/>
  </r>
  <r>
    <x v="30"/>
    <x v="0"/>
    <s v="Recruitment"/>
    <s v="Recruitment - Details"/>
    <n v="8120"/>
    <x v="0"/>
    <n v="1"/>
  </r>
  <r>
    <x v="30"/>
    <x v="1"/>
    <s v="Rent"/>
    <s v="Rent - Details"/>
    <n v="41800"/>
    <x v="0"/>
    <n v="1"/>
  </r>
  <r>
    <x v="31"/>
    <x v="4"/>
    <s v="Investment"/>
    <s v="Investment - Details"/>
    <n v="49369"/>
    <x v="0"/>
    <n v="1"/>
  </r>
  <r>
    <x v="31"/>
    <x v="0"/>
    <s v="Training"/>
    <s v="Training - Details"/>
    <n v="6820"/>
    <x v="0"/>
    <n v="1"/>
  </r>
  <r>
    <x v="31"/>
    <x v="1"/>
    <s v="Rent"/>
    <s v="Rent - Details"/>
    <n v="41120"/>
    <x v="0"/>
    <n v="1"/>
  </r>
  <r>
    <x v="32"/>
    <x v="0"/>
    <s v="Training"/>
    <s v="Training - Details"/>
    <n v="7450"/>
    <x v="0"/>
    <n v="1"/>
  </r>
  <r>
    <x v="33"/>
    <x v="0"/>
    <s v="Training"/>
    <s v="Training - Details"/>
    <n v="6720"/>
    <x v="0"/>
    <n v="1"/>
  </r>
  <r>
    <x v="33"/>
    <x v="0"/>
    <s v="Training"/>
    <s v="Training - Details"/>
    <n v="7690"/>
    <x v="0"/>
    <n v="1"/>
  </r>
  <r>
    <x v="34"/>
    <x v="0"/>
    <s v="Training"/>
    <s v="Training - Details"/>
    <n v="7130"/>
    <x v="0"/>
    <n v="1"/>
  </r>
  <r>
    <x v="35"/>
    <x v="0"/>
    <s v="Training"/>
    <s v="Training - Details"/>
    <n v="7660"/>
    <x v="0"/>
    <n v="1"/>
  </r>
  <r>
    <x v="36"/>
    <x v="0"/>
    <s v="Recruitment"/>
    <s v="Recruitment - Details"/>
    <n v="8654"/>
    <x v="0"/>
    <n v="1"/>
  </r>
  <r>
    <x v="36"/>
    <x v="0"/>
    <s v="Training"/>
    <s v="Training - Details"/>
    <n v="7510"/>
    <x v="0"/>
    <n v="1"/>
  </r>
  <r>
    <x v="36"/>
    <x v="0"/>
    <s v="Training"/>
    <s v="Training - Details"/>
    <n v="7990"/>
    <x v="0"/>
    <n v="1"/>
  </r>
  <r>
    <x v="37"/>
    <x v="0"/>
    <s v="Training"/>
    <s v="Training - Details"/>
    <n v="7330"/>
    <x v="0"/>
    <n v="1"/>
  </r>
  <r>
    <x v="37"/>
    <x v="0"/>
    <s v="Training"/>
    <s v="Training - Details"/>
    <n v="8120"/>
    <x v="0"/>
    <n v="1"/>
  </r>
  <r>
    <x v="37"/>
    <x v="0"/>
    <s v="Training"/>
    <s v="Training - Details"/>
    <n v="7890"/>
    <x v="0"/>
    <n v="1"/>
  </r>
  <r>
    <x v="38"/>
    <x v="4"/>
    <s v="Investment"/>
    <s v="Investment - Details"/>
    <n v="29101"/>
    <x v="0"/>
    <n v="1"/>
  </r>
  <r>
    <x v="38"/>
    <x v="0"/>
    <s v="Training"/>
    <s v="Training - Details"/>
    <n v="7860"/>
    <x v="0"/>
    <n v="1"/>
  </r>
  <r>
    <x v="38"/>
    <x v="0"/>
    <s v="Training"/>
    <s v="Training - Details"/>
    <n v="7900"/>
    <x v="0"/>
    <n v="1"/>
  </r>
  <r>
    <x v="38"/>
    <x v="0"/>
    <s v="Training"/>
    <s v="Training - Details"/>
    <n v="7720"/>
    <x v="0"/>
    <n v="1"/>
  </r>
  <r>
    <x v="39"/>
    <x v="1"/>
    <s v="Rent"/>
    <s v="Rent - Details"/>
    <n v="40800"/>
    <x v="0"/>
    <n v="1"/>
  </r>
  <r>
    <x v="39"/>
    <x v="0"/>
    <s v="Training"/>
    <s v="Training - Details"/>
    <n v="7450"/>
    <x v="0"/>
    <n v="1"/>
  </r>
  <r>
    <x v="39"/>
    <x v="0"/>
    <s v="Training"/>
    <s v="Training - Details"/>
    <n v="7750"/>
    <x v="0"/>
    <n v="1"/>
  </r>
  <r>
    <x v="39"/>
    <x v="0"/>
    <s v="Training"/>
    <s v="Training - Details"/>
    <n v="7670"/>
    <x v="0"/>
    <n v="1"/>
  </r>
  <r>
    <x v="39"/>
    <x v="0"/>
    <s v="Training"/>
    <s v="Training - Details"/>
    <n v="7700"/>
    <x v="0"/>
    <n v="1"/>
  </r>
  <r>
    <x v="40"/>
    <x v="4"/>
    <s v="Loan"/>
    <s v="Loan - Details"/>
    <n v="23733"/>
    <x v="0"/>
    <n v="1"/>
  </r>
  <r>
    <x v="40"/>
    <x v="0"/>
    <s v="Training"/>
    <s v="Training - Details"/>
    <n v="8230"/>
    <x v="0"/>
    <n v="1"/>
  </r>
  <r>
    <x v="40"/>
    <x v="0"/>
    <s v="Training"/>
    <s v="Training - Details"/>
    <n v="8010"/>
    <x v="0"/>
    <n v="1"/>
  </r>
  <r>
    <x v="40"/>
    <x v="0"/>
    <s v="Training"/>
    <s v="Training - Details"/>
    <n v="7850"/>
    <x v="0"/>
    <n v="1"/>
  </r>
  <r>
    <x v="41"/>
    <x v="0"/>
    <s v="Training"/>
    <s v="Training - Details"/>
    <n v="7840"/>
    <x v="0"/>
    <n v="1"/>
  </r>
  <r>
    <x v="42"/>
    <x v="0"/>
    <s v="Training"/>
    <s v="Training - Details"/>
    <n v="41484"/>
    <x v="0"/>
    <n v="1"/>
  </r>
  <r>
    <x v="43"/>
    <x v="3"/>
    <s v="Commission"/>
    <s v="Commission - Details"/>
    <n v="6663"/>
    <x v="0"/>
    <n v="1"/>
  </r>
  <r>
    <x v="44"/>
    <x v="2"/>
    <s v="Software"/>
    <s v="Software - Details"/>
    <n v="15340"/>
    <x v="0"/>
    <n v="1"/>
  </r>
  <r>
    <x v="45"/>
    <x v="1"/>
    <s v="Maintenance"/>
    <s v="Maintenance - Details"/>
    <n v="34159"/>
    <x v="0"/>
    <n v="1"/>
  </r>
  <r>
    <x v="46"/>
    <x v="1"/>
    <s v="Office Supplies"/>
    <s v="Office Supplies - Details"/>
    <n v="26562"/>
    <x v="0"/>
    <n v="1"/>
  </r>
  <r>
    <x v="47"/>
    <x v="1"/>
    <s v="Office Supplies"/>
    <s v="Office Supplies - Details"/>
    <n v="17360"/>
    <x v="0"/>
    <n v="1"/>
  </r>
  <r>
    <x v="48"/>
    <x v="2"/>
    <s v="Hardware"/>
    <s v="Hardware - Details"/>
    <n v="29673"/>
    <x v="0"/>
    <n v="1"/>
  </r>
  <r>
    <x v="48"/>
    <x v="1"/>
    <s v="Utilities"/>
    <s v="Utilities - Details"/>
    <n v="35846"/>
    <x v="0"/>
    <n v="1"/>
  </r>
  <r>
    <x v="49"/>
    <x v="3"/>
    <s v="Incentive"/>
    <s v="Incentive - Details"/>
    <n v="47879"/>
    <x v="1"/>
    <n v="1"/>
  </r>
  <r>
    <x v="49"/>
    <x v="4"/>
    <s v="Interest"/>
    <s v="Interest - Details"/>
    <n v="86790"/>
    <x v="1"/>
    <n v="1"/>
  </r>
  <r>
    <x v="49"/>
    <x v="0"/>
    <s v="Recruitment"/>
    <s v="Recruitment - Details"/>
    <n v="7450"/>
    <x v="0"/>
    <n v="1"/>
  </r>
  <r>
    <x v="50"/>
    <x v="1"/>
    <s v="Utilities"/>
    <s v="Utilities - Details"/>
    <n v="7543"/>
    <x v="0"/>
    <n v="1"/>
  </r>
  <r>
    <x v="50"/>
    <x v="0"/>
    <s v="Recruitment"/>
    <s v="Recruitment - Details"/>
    <n v="7150"/>
    <x v="0"/>
    <n v="1"/>
  </r>
  <r>
    <x v="50"/>
    <x v="4"/>
    <s v="Interest"/>
    <s v="Interest - Details"/>
    <n v="87500"/>
    <x v="1"/>
    <n v="1"/>
  </r>
  <r>
    <x v="50"/>
    <x v="4"/>
    <s v="Interest"/>
    <s v="Interest - Details"/>
    <n v="90600"/>
    <x v="1"/>
    <n v="1"/>
  </r>
  <r>
    <x v="51"/>
    <x v="4"/>
    <s v="Interest"/>
    <s v="Interest - Details"/>
    <n v="89800"/>
    <x v="1"/>
    <n v="1"/>
  </r>
  <r>
    <x v="52"/>
    <x v="4"/>
    <s v="Interest"/>
    <s v="Interest - Details"/>
    <n v="94100"/>
    <x v="1"/>
    <n v="1"/>
  </r>
  <r>
    <x v="53"/>
    <x v="0"/>
    <s v="Training"/>
    <s v="Training - Details"/>
    <n v="35529"/>
    <x v="0"/>
    <n v="1"/>
  </r>
  <r>
    <x v="53"/>
    <x v="4"/>
    <s v="Interest"/>
    <s v="Interest - Details"/>
    <n v="92500"/>
    <x v="1"/>
    <n v="1"/>
  </r>
  <r>
    <x v="54"/>
    <x v="4"/>
    <s v="Interest"/>
    <s v="Interest - Details"/>
    <n v="91600"/>
    <x v="1"/>
    <n v="1"/>
  </r>
  <r>
    <x v="55"/>
    <x v="4"/>
    <s v="Interest"/>
    <s v="Interest - Details"/>
    <n v="93200"/>
    <x v="1"/>
    <n v="1"/>
  </r>
  <r>
    <x v="55"/>
    <x v="4"/>
    <s v="Interest"/>
    <s v="Interest - Details"/>
    <n v="92600"/>
    <x v="1"/>
    <n v="1"/>
  </r>
  <r>
    <x v="56"/>
    <x v="2"/>
    <s v="Software"/>
    <s v="Software - Details"/>
    <n v="16500"/>
    <x v="0"/>
    <n v="1"/>
  </r>
  <r>
    <x v="56"/>
    <x v="4"/>
    <s v="Interest"/>
    <s v="Interest - Details"/>
    <n v="95400"/>
    <x v="1"/>
    <n v="1"/>
  </r>
  <r>
    <x v="56"/>
    <x v="4"/>
    <s v="Interest"/>
    <s v="Interest - Details"/>
    <n v="92000"/>
    <x v="1"/>
    <n v="1"/>
  </r>
  <r>
    <x v="56"/>
    <x v="4"/>
    <s v="Interest"/>
    <s v="Interest - Details"/>
    <n v="92600"/>
    <x v="1"/>
    <n v="1"/>
  </r>
  <r>
    <x v="57"/>
    <x v="0"/>
    <s v="Recruitment"/>
    <s v="Recruitment - Details"/>
    <n v="7860"/>
    <x v="0"/>
    <n v="1"/>
  </r>
  <r>
    <x v="57"/>
    <x v="4"/>
    <s v="Interest"/>
    <s v="Interest - Details"/>
    <n v="94900"/>
    <x v="1"/>
    <n v="1"/>
  </r>
  <r>
    <x v="57"/>
    <x v="4"/>
    <s v="Interest"/>
    <s v="Interest - Details"/>
    <n v="93800"/>
    <x v="1"/>
    <n v="1"/>
  </r>
  <r>
    <x v="57"/>
    <x v="4"/>
    <s v="Interest"/>
    <s v="Interest - Details"/>
    <n v="93200"/>
    <x v="1"/>
    <n v="1"/>
  </r>
  <r>
    <x v="57"/>
    <x v="4"/>
    <s v="Interest"/>
    <s v="Interest - Details"/>
    <n v="93600"/>
    <x v="1"/>
    <n v="1"/>
  </r>
  <r>
    <x v="58"/>
    <x v="4"/>
    <s v="Bank Charges"/>
    <s v="Bank Charges - Details"/>
    <n v="12990"/>
    <x v="0"/>
    <n v="1"/>
  </r>
  <r>
    <x v="58"/>
    <x v="4"/>
    <s v="Interest"/>
    <s v="Interest - Details"/>
    <n v="93500"/>
    <x v="1"/>
    <n v="1"/>
  </r>
  <r>
    <x v="58"/>
    <x v="4"/>
    <s v="Interest"/>
    <s v="Interest - Details"/>
    <n v="92800"/>
    <x v="1"/>
    <n v="1"/>
  </r>
  <r>
    <x v="58"/>
    <x v="4"/>
    <s v="Interest"/>
    <s v="Interest - Details"/>
    <n v="91800"/>
    <x v="1"/>
    <n v="1"/>
  </r>
  <r>
    <x v="58"/>
    <x v="4"/>
    <s v="Interest"/>
    <s v="Interest - Details"/>
    <n v="92900"/>
    <x v="1"/>
    <n v="1"/>
  </r>
  <r>
    <x v="58"/>
    <x v="4"/>
    <s v="Interest"/>
    <s v="Interest - Details"/>
    <n v="92700"/>
    <x v="1"/>
    <n v="1"/>
  </r>
  <r>
    <x v="59"/>
    <x v="0"/>
    <s v="Recruitment"/>
    <s v="Recruitment - Details"/>
    <n v="7680"/>
    <x v="0"/>
    <n v="1"/>
  </r>
  <r>
    <x v="59"/>
    <x v="4"/>
    <s v="Interest"/>
    <s v="Interest - Details"/>
    <n v="91000"/>
    <x v="1"/>
    <n v="1"/>
  </r>
  <r>
    <x v="60"/>
    <x v="4"/>
    <s v="Bank Charges"/>
    <s v="Bank Charges - Details"/>
    <n v="12240"/>
    <x v="0"/>
    <n v="1"/>
  </r>
  <r>
    <x v="61"/>
    <x v="2"/>
    <s v="Consulting"/>
    <s v="Consulting - Details"/>
    <n v="43569"/>
    <x v="0"/>
    <n v="1"/>
  </r>
  <r>
    <x v="62"/>
    <x v="1"/>
    <s v="Maintenance"/>
    <s v="Maintenance - Details"/>
    <n v="40172"/>
    <x v="0"/>
    <n v="1"/>
  </r>
  <r>
    <x v="63"/>
    <x v="4"/>
    <s v="Interest"/>
    <s v="Interest - Details"/>
    <n v="8551"/>
    <x v="1"/>
    <n v="1"/>
  </r>
  <r>
    <x v="63"/>
    <x v="0"/>
    <s v="Training"/>
    <s v="Training - Details"/>
    <n v="27438"/>
    <x v="0"/>
    <n v="1"/>
  </r>
  <r>
    <x v="64"/>
    <x v="0"/>
    <s v="Salary"/>
    <s v="Salary - Details"/>
    <n v="37926"/>
    <x v="0"/>
    <n v="2"/>
  </r>
  <r>
    <x v="65"/>
    <x v="3"/>
    <s v="Revenue"/>
    <s v="Revenue - Details"/>
    <n v="16908"/>
    <x v="1"/>
    <n v="2"/>
  </r>
  <r>
    <x v="66"/>
    <x v="4"/>
    <s v="Investments"/>
    <s v="Investments - Details"/>
    <n v="104655"/>
    <x v="1"/>
    <n v="2"/>
  </r>
  <r>
    <x v="67"/>
    <x v="1"/>
    <s v="Office Supplies"/>
    <s v="Office Supplies - Details"/>
    <n v="43913"/>
    <x v="0"/>
    <n v="2"/>
  </r>
  <r>
    <x v="68"/>
    <x v="3"/>
    <s v="Commission"/>
    <s v="Commission - Details"/>
    <n v="1116"/>
    <x v="0"/>
    <n v="2"/>
  </r>
  <r>
    <x v="69"/>
    <x v="4"/>
    <s v="Interest"/>
    <s v="Interest - Details"/>
    <n v="13244"/>
    <x v="1"/>
    <n v="2"/>
  </r>
  <r>
    <x v="69"/>
    <x v="1"/>
    <s v="Utilities"/>
    <s v="Utilities - Details"/>
    <n v="4269"/>
    <x v="0"/>
    <n v="2"/>
  </r>
  <r>
    <x v="69"/>
    <x v="3"/>
    <s v="Incentive"/>
    <s v="Incentive - Details"/>
    <n v="40450"/>
    <x v="1"/>
    <n v="2"/>
  </r>
  <r>
    <x v="69"/>
    <x v="4"/>
    <s v="Investments"/>
    <s v="Investments - Details"/>
    <n v="113200"/>
    <x v="1"/>
    <n v="2"/>
  </r>
  <r>
    <x v="70"/>
    <x v="2"/>
    <s v="Consulting"/>
    <s v="Consulting - Details"/>
    <n v="48659"/>
    <x v="0"/>
    <n v="2"/>
  </r>
  <r>
    <x v="71"/>
    <x v="1"/>
    <s v="Utilities"/>
    <s v="Utilities - Details"/>
    <n v="13313"/>
    <x v="0"/>
    <n v="2"/>
  </r>
  <r>
    <x v="72"/>
    <x v="1"/>
    <s v="Utilities"/>
    <s v="Utilities - Details"/>
    <n v="19860"/>
    <x v="0"/>
    <n v="2"/>
  </r>
  <r>
    <x v="72"/>
    <x v="2"/>
    <s v="Maintenance"/>
    <s v="Maintenance - Details"/>
    <n v="23400"/>
    <x v="0"/>
    <n v="2"/>
  </r>
  <r>
    <x v="73"/>
    <x v="2"/>
    <s v="Maintenance"/>
    <s v="Maintenance - Details"/>
    <n v="23640"/>
    <x v="0"/>
    <n v="2"/>
  </r>
  <r>
    <x v="73"/>
    <x v="2"/>
    <s v="Maintenance"/>
    <s v="Maintenance - Details"/>
    <n v="24500"/>
    <x v="0"/>
    <n v="2"/>
  </r>
  <r>
    <x v="74"/>
    <x v="0"/>
    <s v="Training"/>
    <s v="Training - Details"/>
    <n v="10945"/>
    <x v="0"/>
    <n v="2"/>
  </r>
  <r>
    <x v="74"/>
    <x v="1"/>
    <s v="Utilities"/>
    <s v="Utilities - Details"/>
    <n v="20400"/>
    <x v="0"/>
    <n v="2"/>
  </r>
  <r>
    <x v="74"/>
    <x v="2"/>
    <s v="Maintenance"/>
    <s v="Maintenance - Details"/>
    <n v="24100"/>
    <x v="0"/>
    <n v="2"/>
  </r>
  <r>
    <x v="74"/>
    <x v="2"/>
    <s v="Maintenance"/>
    <s v="Maintenance - Details"/>
    <n v="25600"/>
    <x v="0"/>
    <n v="2"/>
  </r>
  <r>
    <x v="74"/>
    <x v="2"/>
    <s v="Maintenance"/>
    <s v="Maintenance - Details"/>
    <n v="25100"/>
    <x v="0"/>
    <n v="2"/>
  </r>
  <r>
    <x v="75"/>
    <x v="2"/>
    <s v="Maintenance"/>
    <s v="Maintenance - Details"/>
    <n v="25200"/>
    <x v="0"/>
    <n v="2"/>
  </r>
  <r>
    <x v="76"/>
    <x v="2"/>
    <s v="Maintenance"/>
    <s v="Maintenance - Details"/>
    <n v="22800"/>
    <x v="0"/>
    <n v="2"/>
  </r>
  <r>
    <x v="76"/>
    <x v="2"/>
    <s v="Maintenance"/>
    <s v="Maintenance - Details"/>
    <n v="24800"/>
    <x v="0"/>
    <n v="2"/>
  </r>
  <r>
    <x v="77"/>
    <x v="0"/>
    <s v="Recruitment"/>
    <s v="Recruitment - Details"/>
    <n v="30526"/>
    <x v="0"/>
    <n v="2"/>
  </r>
  <r>
    <x v="77"/>
    <x v="2"/>
    <s v="Maintenance"/>
    <s v="Maintenance - Details"/>
    <n v="23600"/>
    <x v="0"/>
    <n v="2"/>
  </r>
  <r>
    <x v="77"/>
    <x v="2"/>
    <s v="Maintenance"/>
    <s v="Maintenance - Details"/>
    <n v="24700"/>
    <x v="0"/>
    <n v="2"/>
  </r>
  <r>
    <x v="77"/>
    <x v="2"/>
    <s v="Maintenance"/>
    <s v="Maintenance - Details"/>
    <n v="23800"/>
    <x v="0"/>
    <n v="2"/>
  </r>
  <r>
    <x v="77"/>
    <x v="2"/>
    <s v="Maintenance"/>
    <s v="Maintenance - Details"/>
    <n v="24100"/>
    <x v="0"/>
    <n v="2"/>
  </r>
  <r>
    <x v="77"/>
    <x v="2"/>
    <s v="Maintenance"/>
    <s v="Maintenance - Details"/>
    <n v="23000"/>
    <x v="0"/>
    <n v="2"/>
  </r>
  <r>
    <x v="78"/>
    <x v="2"/>
    <s v="Maintenance"/>
    <s v="Maintenance - Details"/>
    <n v="24200"/>
    <x v="0"/>
    <n v="2"/>
  </r>
  <r>
    <x v="78"/>
    <x v="2"/>
    <s v="Maintenance"/>
    <s v="Maintenance - Details"/>
    <n v="23300"/>
    <x v="0"/>
    <n v="2"/>
  </r>
  <r>
    <x v="78"/>
    <x v="2"/>
    <s v="Maintenance"/>
    <s v="Maintenance - Details"/>
    <n v="23700"/>
    <x v="0"/>
    <n v="2"/>
  </r>
  <r>
    <x v="79"/>
    <x v="4"/>
    <s v="Bank Charges"/>
    <s v="Bank Charges - Details"/>
    <n v="13480"/>
    <x v="0"/>
    <n v="2"/>
  </r>
  <r>
    <x v="79"/>
    <x v="2"/>
    <s v="Maintenance"/>
    <s v="Maintenance - Details"/>
    <n v="24000"/>
    <x v="0"/>
    <n v="2"/>
  </r>
  <r>
    <x v="79"/>
    <x v="2"/>
    <s v="Maintenance"/>
    <s v="Maintenance - Details"/>
    <n v="23600"/>
    <x v="0"/>
    <n v="2"/>
  </r>
  <r>
    <x v="79"/>
    <x v="2"/>
    <s v="Maintenance"/>
    <s v="Maintenance - Details"/>
    <n v="23400"/>
    <x v="0"/>
    <n v="2"/>
  </r>
  <r>
    <x v="80"/>
    <x v="1"/>
    <s v="Rent"/>
    <s v="Rent - Details"/>
    <n v="39500"/>
    <x v="0"/>
    <n v="2"/>
  </r>
  <r>
    <x v="80"/>
    <x v="4"/>
    <s v="Bank Charges"/>
    <s v="Bank Charges - Details"/>
    <n v="14120"/>
    <x v="0"/>
    <n v="2"/>
  </r>
  <r>
    <x v="80"/>
    <x v="2"/>
    <s v="Maintenance"/>
    <s v="Maintenance - Details"/>
    <n v="22900"/>
    <x v="0"/>
    <n v="2"/>
  </r>
  <r>
    <x v="80"/>
    <x v="2"/>
    <s v="Maintenance"/>
    <s v="Maintenance - Details"/>
    <n v="23900"/>
    <x v="0"/>
    <n v="2"/>
  </r>
  <r>
    <x v="81"/>
    <x v="1"/>
    <s v="Rent"/>
    <s v="Rent - Details"/>
    <n v="39990"/>
    <x v="0"/>
    <n v="2"/>
  </r>
  <r>
    <x v="82"/>
    <x v="1"/>
    <s v="Maintenance"/>
    <s v="Maintenance - Details"/>
    <n v="43029"/>
    <x v="0"/>
    <n v="2"/>
  </r>
  <r>
    <x v="82"/>
    <x v="1"/>
    <s v="Rent"/>
    <s v="Rent - Details"/>
    <n v="41700"/>
    <x v="0"/>
    <n v="2"/>
  </r>
  <r>
    <x v="83"/>
    <x v="3"/>
    <s v="Incentive"/>
    <s v="Incentive - Details"/>
    <n v="31126"/>
    <x v="1"/>
    <n v="2"/>
  </r>
  <r>
    <x v="84"/>
    <x v="3"/>
    <s v="Discounts"/>
    <s v="Discounts - Details"/>
    <n v="10200"/>
    <x v="0"/>
    <n v="2"/>
  </r>
  <r>
    <x v="84"/>
    <x v="0"/>
    <s v="Recruitment"/>
    <s v="Recruitment - Details"/>
    <n v="7680"/>
    <x v="0"/>
    <n v="2"/>
  </r>
  <r>
    <x v="85"/>
    <x v="2"/>
    <s v="Hardware"/>
    <s v="Hardware - Details"/>
    <n v="17607"/>
    <x v="0"/>
    <n v="2"/>
  </r>
  <r>
    <x v="85"/>
    <x v="3"/>
    <s v="Discounts"/>
    <s v="Discounts - Details"/>
    <n v="8920"/>
    <x v="0"/>
    <n v="2"/>
  </r>
  <r>
    <x v="86"/>
    <x v="0"/>
    <s v="Training"/>
    <s v="Training - Details"/>
    <n v="36955"/>
    <x v="0"/>
    <n v="2"/>
  </r>
  <r>
    <x v="86"/>
    <x v="2"/>
    <s v="Maintenance"/>
    <s v="Maintenance - Details"/>
    <n v="19950"/>
    <x v="0"/>
    <n v="2"/>
  </r>
  <r>
    <x v="87"/>
    <x v="4"/>
    <s v="Interest"/>
    <s v="Interest - Details"/>
    <n v="74326"/>
    <x v="1"/>
    <n v="2"/>
  </r>
  <r>
    <x v="88"/>
    <x v="2"/>
    <s v="Maintenance"/>
    <s v="Maintenance - Details"/>
    <n v="21200"/>
    <x v="0"/>
    <n v="2"/>
  </r>
  <r>
    <x v="89"/>
    <x v="0"/>
    <s v="Training"/>
    <s v="Training - Details"/>
    <n v="3707"/>
    <x v="0"/>
    <n v="2"/>
  </r>
  <r>
    <x v="89"/>
    <x v="0"/>
    <s v="Recruitment"/>
    <s v="Recruitment - Details"/>
    <n v="37148"/>
    <x v="0"/>
    <n v="2"/>
  </r>
  <r>
    <x v="89"/>
    <x v="2"/>
    <s v="Software"/>
    <s v="Software - Details"/>
    <n v="17800"/>
    <x v="0"/>
    <n v="2"/>
  </r>
  <r>
    <x v="89"/>
    <x v="2"/>
    <s v="Software"/>
    <s v="Software - Details"/>
    <n v="18890"/>
    <x v="0"/>
    <n v="2"/>
  </r>
  <r>
    <x v="90"/>
    <x v="4"/>
    <s v="Loan"/>
    <s v="Loan - Details"/>
    <n v="41850"/>
    <x v="0"/>
    <n v="2"/>
  </r>
  <r>
    <x v="90"/>
    <x v="2"/>
    <s v="Software"/>
    <s v="Software - Details"/>
    <n v="19400"/>
    <x v="0"/>
    <n v="2"/>
  </r>
  <r>
    <x v="91"/>
    <x v="1"/>
    <s v="Maintenance"/>
    <s v="Maintenance - Details"/>
    <n v="46031"/>
    <x v="0"/>
    <n v="2"/>
  </r>
  <r>
    <x v="91"/>
    <x v="2"/>
    <s v="Software"/>
    <s v="Software - Details"/>
    <n v="17250"/>
    <x v="0"/>
    <n v="2"/>
  </r>
  <r>
    <x v="91"/>
    <x v="2"/>
    <s v="Hardware"/>
    <s v="Hardware - Details"/>
    <n v="37200"/>
    <x v="0"/>
    <n v="2"/>
  </r>
  <r>
    <x v="92"/>
    <x v="2"/>
    <s v="Hardware"/>
    <s v="Hardware - Details"/>
    <n v="34900"/>
    <x v="0"/>
    <n v="2"/>
  </r>
  <r>
    <x v="92"/>
    <x v="2"/>
    <s v="Software"/>
    <s v="Software - Details"/>
    <n v="18650"/>
    <x v="0"/>
    <n v="2"/>
  </r>
  <r>
    <x v="93"/>
    <x v="2"/>
    <s v="Hardware"/>
    <s v="Hardware - Details"/>
    <n v="35800"/>
    <x v="0"/>
    <n v="2"/>
  </r>
  <r>
    <x v="94"/>
    <x v="2"/>
    <s v="Software"/>
    <s v="Software - Details"/>
    <n v="44769"/>
    <x v="0"/>
    <n v="2"/>
  </r>
  <r>
    <x v="95"/>
    <x v="2"/>
    <s v="Software"/>
    <s v="Software - Details"/>
    <n v="19350"/>
    <x v="0"/>
    <n v="2"/>
  </r>
  <r>
    <x v="96"/>
    <x v="2"/>
    <s v="Consulting"/>
    <s v="Consulting - Details"/>
    <n v="15685"/>
    <x v="0"/>
    <n v="2"/>
  </r>
  <r>
    <x v="96"/>
    <x v="2"/>
    <s v="Hardware"/>
    <s v="Hardware - Details"/>
    <n v="35100"/>
    <x v="0"/>
    <n v="2"/>
  </r>
  <r>
    <x v="96"/>
    <x v="2"/>
    <s v="Hardware"/>
    <s v="Hardware - Details"/>
    <n v="35900"/>
    <x v="0"/>
    <n v="2"/>
  </r>
  <r>
    <x v="97"/>
    <x v="2"/>
    <s v="Hardware"/>
    <s v="Hardware - Details"/>
    <n v="36500"/>
    <x v="0"/>
    <n v="2"/>
  </r>
  <r>
    <x v="98"/>
    <x v="2"/>
    <s v="Hardware"/>
    <s v="Hardware - Details"/>
    <n v="36400"/>
    <x v="0"/>
    <n v="2"/>
  </r>
  <r>
    <x v="98"/>
    <x v="2"/>
    <s v="Software"/>
    <s v="Software - Details"/>
    <n v="18300"/>
    <x v="0"/>
    <n v="2"/>
  </r>
  <r>
    <x v="99"/>
    <x v="2"/>
    <s v="Software"/>
    <s v="Software - Details"/>
    <n v="17900"/>
    <x v="0"/>
    <n v="2"/>
  </r>
  <r>
    <x v="100"/>
    <x v="2"/>
    <s v="Software"/>
    <s v="Software - Details"/>
    <n v="19200"/>
    <x v="0"/>
    <n v="2"/>
  </r>
  <r>
    <x v="101"/>
    <x v="4"/>
    <s v="Investment"/>
    <s v="Investment - Details"/>
    <n v="13243"/>
    <x v="0"/>
    <n v="2"/>
  </r>
  <r>
    <x v="101"/>
    <x v="4"/>
    <s v="Interest"/>
    <s v="Interest - Details"/>
    <n v="93400"/>
    <x v="1"/>
    <n v="2"/>
  </r>
  <r>
    <x v="101"/>
    <x v="2"/>
    <s v="Hardware"/>
    <s v="Hardware - Details"/>
    <n v="37700"/>
    <x v="0"/>
    <n v="2"/>
  </r>
  <r>
    <x v="102"/>
    <x v="2"/>
    <s v="Software"/>
    <s v="Software - Details"/>
    <n v="18900"/>
    <x v="0"/>
    <n v="2"/>
  </r>
  <r>
    <x v="102"/>
    <x v="2"/>
    <s v="Hardware"/>
    <s v="Hardware - Details"/>
    <n v="37500"/>
    <x v="0"/>
    <n v="2"/>
  </r>
  <r>
    <x v="103"/>
    <x v="2"/>
    <s v="Hardware"/>
    <s v="Hardware - Details"/>
    <n v="36100"/>
    <x v="0"/>
    <n v="2"/>
  </r>
  <r>
    <x v="104"/>
    <x v="2"/>
    <s v="Software"/>
    <s v="Software - Details"/>
    <n v="18250"/>
    <x v="0"/>
    <n v="2"/>
  </r>
  <r>
    <x v="105"/>
    <x v="2"/>
    <s v="Software"/>
    <s v="Software - Details"/>
    <n v="18750"/>
    <x v="0"/>
    <n v="2"/>
  </r>
  <r>
    <x v="105"/>
    <x v="2"/>
    <s v="Hardware"/>
    <s v="Hardware - Details"/>
    <n v="36700"/>
    <x v="0"/>
    <n v="2"/>
  </r>
  <r>
    <x v="105"/>
    <x v="2"/>
    <s v="Hardware"/>
    <s v="Hardware - Details"/>
    <n v="37000"/>
    <x v="0"/>
    <n v="2"/>
  </r>
  <r>
    <x v="106"/>
    <x v="1"/>
    <s v="Maintenance"/>
    <s v="Maintenance - Details"/>
    <n v="9466"/>
    <x v="0"/>
    <n v="2"/>
  </r>
  <r>
    <x v="106"/>
    <x v="2"/>
    <s v="Hardware"/>
    <s v="Hardware - Details"/>
    <n v="36900"/>
    <x v="0"/>
    <n v="2"/>
  </r>
  <r>
    <x v="106"/>
    <x v="2"/>
    <s v="Hardware"/>
    <s v="Hardware - Details"/>
    <n v="38200"/>
    <x v="0"/>
    <n v="2"/>
  </r>
  <r>
    <x v="106"/>
    <x v="2"/>
    <s v="Hardware"/>
    <s v="Hardware - Details"/>
    <n v="38900"/>
    <x v="0"/>
    <n v="2"/>
  </r>
  <r>
    <x v="106"/>
    <x v="2"/>
    <s v="Hardware"/>
    <s v="Hardware - Details"/>
    <n v="37600"/>
    <x v="0"/>
    <n v="2"/>
  </r>
  <r>
    <x v="107"/>
    <x v="2"/>
    <s v="Software"/>
    <s v="Software - Details"/>
    <n v="17980"/>
    <x v="0"/>
    <n v="2"/>
  </r>
  <r>
    <x v="107"/>
    <x v="2"/>
    <s v="Hardware"/>
    <s v="Hardware - Details"/>
    <n v="37800"/>
    <x v="0"/>
    <n v="2"/>
  </r>
  <r>
    <x v="107"/>
    <x v="2"/>
    <s v="Hardware"/>
    <s v="Hardware - Details"/>
    <n v="38500"/>
    <x v="0"/>
    <n v="2"/>
  </r>
  <r>
    <x v="107"/>
    <x v="2"/>
    <s v="Hardware"/>
    <s v="Hardware - Details"/>
    <n v="37900"/>
    <x v="0"/>
    <n v="2"/>
  </r>
  <r>
    <x v="108"/>
    <x v="2"/>
    <s v="Hardware"/>
    <s v="Hardware - Details"/>
    <n v="35400"/>
    <x v="0"/>
    <n v="2"/>
  </r>
  <r>
    <x v="108"/>
    <x v="2"/>
    <s v="Software"/>
    <s v="Software - Details"/>
    <n v="18800"/>
    <x v="0"/>
    <n v="2"/>
  </r>
  <r>
    <x v="108"/>
    <x v="2"/>
    <s v="Software"/>
    <s v="Software - Details"/>
    <n v="18490"/>
    <x v="0"/>
    <n v="2"/>
  </r>
  <r>
    <x v="108"/>
    <x v="2"/>
    <s v="Software"/>
    <s v="Software - Details"/>
    <n v="19000"/>
    <x v="0"/>
    <n v="2"/>
  </r>
  <r>
    <x v="108"/>
    <x v="2"/>
    <s v="Software"/>
    <s v="Software - Details"/>
    <n v="19500"/>
    <x v="0"/>
    <n v="2"/>
  </r>
  <r>
    <x v="108"/>
    <x v="2"/>
    <s v="Software"/>
    <s v="Software - Details"/>
    <n v="19150"/>
    <x v="0"/>
    <n v="2"/>
  </r>
  <r>
    <x v="109"/>
    <x v="2"/>
    <s v="Consulting"/>
    <s v="Consulting - Details"/>
    <n v="13393"/>
    <x v="0"/>
    <n v="2"/>
  </r>
  <r>
    <x v="109"/>
    <x v="2"/>
    <s v="Software"/>
    <s v="Software - Details"/>
    <n v="19100"/>
    <x v="0"/>
    <n v="2"/>
  </r>
  <r>
    <x v="109"/>
    <x v="2"/>
    <s v="Software"/>
    <s v="Software - Details"/>
    <n v="19300"/>
    <x v="0"/>
    <n v="2"/>
  </r>
  <r>
    <x v="109"/>
    <x v="2"/>
    <s v="Software"/>
    <s v="Software - Details"/>
    <n v="18900"/>
    <x v="0"/>
    <n v="2"/>
  </r>
  <r>
    <x v="110"/>
    <x v="3"/>
    <s v="Commission"/>
    <s v="Commission - Details"/>
    <n v="31670"/>
    <x v="0"/>
    <n v="2"/>
  </r>
  <r>
    <x v="110"/>
    <x v="2"/>
    <s v="Hardware"/>
    <s v="Hardware - Details"/>
    <n v="38295"/>
    <x v="0"/>
    <n v="2"/>
  </r>
  <r>
    <x v="110"/>
    <x v="2"/>
    <s v="Software"/>
    <s v="Software - Details"/>
    <n v="19200"/>
    <x v="0"/>
    <n v="2"/>
  </r>
  <r>
    <x v="111"/>
    <x v="3"/>
    <s v="Commission"/>
    <s v="Commission - Details"/>
    <n v="21500"/>
    <x v="0"/>
    <n v="2"/>
  </r>
  <r>
    <x v="112"/>
    <x v="4"/>
    <s v="Investment"/>
    <s v="Investment - Details"/>
    <n v="17602"/>
    <x v="0"/>
    <n v="2"/>
  </r>
  <r>
    <x v="113"/>
    <x v="2"/>
    <s v="Hardware"/>
    <s v="Hardware - Details"/>
    <n v="37780"/>
    <x v="0"/>
    <n v="2"/>
  </r>
  <r>
    <x v="114"/>
    <x v="2"/>
    <s v="Hardware"/>
    <s v="Hardware - Details"/>
    <n v="33890"/>
    <x v="0"/>
    <n v="2"/>
  </r>
  <r>
    <x v="114"/>
    <x v="2"/>
    <s v="Hardware"/>
    <s v="Hardware - Details"/>
    <n v="31900"/>
    <x v="0"/>
    <n v="2"/>
  </r>
  <r>
    <x v="115"/>
    <x v="2"/>
    <s v="Hardware"/>
    <s v="Hardware - Details"/>
    <n v="28940"/>
    <x v="0"/>
    <n v="2"/>
  </r>
  <r>
    <x v="115"/>
    <x v="2"/>
    <s v="Hardware"/>
    <s v="Hardware - Details"/>
    <n v="34400"/>
    <x v="0"/>
    <n v="2"/>
  </r>
  <r>
    <x v="116"/>
    <x v="4"/>
    <s v="Investment"/>
    <s v="Investment - Details"/>
    <n v="15334"/>
    <x v="0"/>
    <n v="2"/>
  </r>
  <r>
    <x v="116"/>
    <x v="2"/>
    <s v="Hardware"/>
    <s v="Hardware - Details"/>
    <n v="32400"/>
    <x v="0"/>
    <n v="2"/>
  </r>
  <r>
    <x v="117"/>
    <x v="2"/>
    <s v="Hardware"/>
    <s v="Hardware - Details"/>
    <n v="31000"/>
    <x v="0"/>
    <n v="2"/>
  </r>
  <r>
    <x v="118"/>
    <x v="3"/>
    <s v="Discounts"/>
    <s v="Discounts - Details"/>
    <n v="10890"/>
    <x v="0"/>
    <n v="2"/>
  </r>
  <r>
    <x v="119"/>
    <x v="3"/>
    <s v="Discounts"/>
    <s v="Discounts - Details"/>
    <n v="9740"/>
    <x v="0"/>
    <n v="2"/>
  </r>
  <r>
    <x v="120"/>
    <x v="3"/>
    <s v="Discounts"/>
    <s v="Discounts - Details"/>
    <n v="9900"/>
    <x v="0"/>
    <n v="2"/>
  </r>
  <r>
    <x v="121"/>
    <x v="3"/>
    <s v="Discounts"/>
    <s v="Discounts - Details"/>
    <n v="10340"/>
    <x v="0"/>
    <n v="2"/>
  </r>
  <r>
    <x v="121"/>
    <x v="3"/>
    <s v="Discounts"/>
    <s v="Discounts - Details"/>
    <n v="11230"/>
    <x v="0"/>
    <n v="2"/>
  </r>
  <r>
    <x v="122"/>
    <x v="3"/>
    <s v="Commission"/>
    <s v="Commission - Details"/>
    <n v="24470"/>
    <x v="0"/>
    <n v="2"/>
  </r>
  <r>
    <x v="122"/>
    <x v="3"/>
    <s v="Discounts"/>
    <s v="Discounts - Details"/>
    <n v="9600"/>
    <x v="0"/>
    <n v="2"/>
  </r>
  <r>
    <x v="122"/>
    <x v="3"/>
    <s v="Discounts"/>
    <s v="Discounts - Details"/>
    <n v="10720"/>
    <x v="0"/>
    <n v="2"/>
  </r>
  <r>
    <x v="123"/>
    <x v="3"/>
    <s v="Discounts"/>
    <s v="Discounts - Details"/>
    <n v="10250"/>
    <x v="0"/>
    <n v="2"/>
  </r>
  <r>
    <x v="124"/>
    <x v="3"/>
    <s v="Discounts"/>
    <s v="Discounts - Details"/>
    <n v="10860"/>
    <x v="0"/>
    <n v="2"/>
  </r>
  <r>
    <x v="125"/>
    <x v="4"/>
    <s v="Interest"/>
    <s v="Interest - Details"/>
    <n v="15109"/>
    <x v="1"/>
    <n v="2"/>
  </r>
  <r>
    <x v="125"/>
    <x v="3"/>
    <s v="Commission"/>
    <s v="Commission - Details"/>
    <n v="23750"/>
    <x v="0"/>
    <n v="2"/>
  </r>
  <r>
    <x v="125"/>
    <x v="3"/>
    <s v="Discounts"/>
    <s v="Discounts - Details"/>
    <n v="10990"/>
    <x v="0"/>
    <n v="2"/>
  </r>
  <r>
    <x v="126"/>
    <x v="3"/>
    <s v="Discounts"/>
    <s v="Discounts - Details"/>
    <n v="11200"/>
    <x v="0"/>
    <n v="2"/>
  </r>
  <r>
    <x v="127"/>
    <x v="3"/>
    <s v="Discounts"/>
    <s v="Discounts - Details"/>
    <n v="11020"/>
    <x v="0"/>
    <n v="3"/>
  </r>
  <r>
    <x v="127"/>
    <x v="3"/>
    <s v="Discounts"/>
    <s v="Discounts - Details"/>
    <n v="10650"/>
    <x v="0"/>
    <n v="3"/>
  </r>
  <r>
    <x v="127"/>
    <x v="3"/>
    <s v="Discounts"/>
    <s v="Discounts - Details"/>
    <n v="11350"/>
    <x v="0"/>
    <n v="3"/>
  </r>
  <r>
    <x v="127"/>
    <x v="3"/>
    <s v="Discounts"/>
    <s v="Discounts - Details"/>
    <n v="11100"/>
    <x v="0"/>
    <n v="3"/>
  </r>
  <r>
    <x v="127"/>
    <x v="3"/>
    <s v="Discounts"/>
    <s v="Discounts - Details"/>
    <n v="11700"/>
    <x v="0"/>
    <n v="3"/>
  </r>
  <r>
    <x v="128"/>
    <x v="3"/>
    <s v="Discounts"/>
    <s v="Discounts - Details"/>
    <n v="10970"/>
    <x v="0"/>
    <n v="3"/>
  </r>
  <r>
    <x v="129"/>
    <x v="3"/>
    <s v="Revenue"/>
    <s v="Revenue - Details"/>
    <n v="126544"/>
    <x v="1"/>
    <n v="3"/>
  </r>
  <r>
    <x v="129"/>
    <x v="3"/>
    <s v="Discounts"/>
    <s v="Discounts - Details"/>
    <n v="10490"/>
    <x v="0"/>
    <n v="3"/>
  </r>
  <r>
    <x v="129"/>
    <x v="3"/>
    <s v="Discounts"/>
    <s v="Discounts - Details"/>
    <n v="11500"/>
    <x v="0"/>
    <n v="3"/>
  </r>
  <r>
    <x v="129"/>
    <x v="3"/>
    <s v="Discounts"/>
    <s v="Discounts - Details"/>
    <n v="11400"/>
    <x v="0"/>
    <n v="3"/>
  </r>
  <r>
    <x v="129"/>
    <x v="3"/>
    <s v="Discounts"/>
    <s v="Discounts - Details"/>
    <n v="11200"/>
    <x v="0"/>
    <n v="3"/>
  </r>
  <r>
    <x v="130"/>
    <x v="3"/>
    <s v="Discounts"/>
    <s v="Discounts - Details"/>
    <n v="11600"/>
    <x v="0"/>
    <n v="3"/>
  </r>
  <r>
    <x v="131"/>
    <x v="0"/>
    <s v="Salaries"/>
    <s v="Salaries - Details"/>
    <n v="45100"/>
    <x v="0"/>
    <n v="3"/>
  </r>
  <r>
    <x v="132"/>
    <x v="0"/>
    <s v="Salaries"/>
    <s v="Salaries - Details"/>
    <n v="46800"/>
    <x v="0"/>
    <n v="3"/>
  </r>
  <r>
    <x v="133"/>
    <x v="0"/>
    <s v="Salaries"/>
    <s v="Salaries - Details"/>
    <n v="49600"/>
    <x v="0"/>
    <n v="3"/>
  </r>
  <r>
    <x v="133"/>
    <x v="0"/>
    <s v="Salaries"/>
    <s v="Salaries - Details"/>
    <n v="47500"/>
    <x v="0"/>
    <n v="3"/>
  </r>
  <r>
    <x v="134"/>
    <x v="0"/>
    <s v="Salaries"/>
    <s v="Salaries - Details"/>
    <n v="48200"/>
    <x v="0"/>
    <n v="3"/>
  </r>
  <r>
    <x v="135"/>
    <x v="1"/>
    <s v="Maintenance"/>
    <s v="Maintenance - Details"/>
    <n v="43900"/>
    <x v="0"/>
    <n v="3"/>
  </r>
  <r>
    <x v="135"/>
    <x v="0"/>
    <s v="Salaries"/>
    <s v="Salaries - Details"/>
    <n v="47900"/>
    <x v="0"/>
    <n v="3"/>
  </r>
  <r>
    <x v="135"/>
    <x v="0"/>
    <s v="Salaries"/>
    <s v="Salaries - Details"/>
    <n v="50300"/>
    <x v="0"/>
    <n v="3"/>
  </r>
  <r>
    <x v="136"/>
    <x v="0"/>
    <s v="Salaries"/>
    <s v="Salaries - Details"/>
    <n v="50400"/>
    <x v="0"/>
    <n v="3"/>
  </r>
  <r>
    <x v="137"/>
    <x v="0"/>
    <s v="Salary"/>
    <s v="Salary - Details"/>
    <n v="29516"/>
    <x v="0"/>
    <n v="3"/>
  </r>
  <r>
    <x v="137"/>
    <x v="0"/>
    <s v="Salaries"/>
    <s v="Salaries - Details"/>
    <n v="48900"/>
    <x v="0"/>
    <n v="3"/>
  </r>
  <r>
    <x v="137"/>
    <x v="0"/>
    <s v="Salaries"/>
    <s v="Salaries - Details"/>
    <n v="49100"/>
    <x v="0"/>
    <n v="3"/>
  </r>
  <r>
    <x v="138"/>
    <x v="3"/>
    <s v="Discounts"/>
    <s v="Discounts - Details"/>
    <n v="10580"/>
    <x v="0"/>
    <n v="3"/>
  </r>
  <r>
    <x v="138"/>
    <x v="0"/>
    <s v="Salaries"/>
    <s v="Salaries - Details"/>
    <n v="51000"/>
    <x v="0"/>
    <n v="3"/>
  </r>
  <r>
    <x v="138"/>
    <x v="0"/>
    <s v="Salaries"/>
    <s v="Salaries - Details"/>
    <n v="51800"/>
    <x v="0"/>
    <n v="3"/>
  </r>
  <r>
    <x v="139"/>
    <x v="4"/>
    <s v="Loan"/>
    <s v="Loan - Details"/>
    <n v="8071"/>
    <x v="0"/>
    <n v="3"/>
  </r>
  <r>
    <x v="139"/>
    <x v="0"/>
    <s v="Salaries"/>
    <s v="Salaries - Details"/>
    <n v="49200"/>
    <x v="0"/>
    <n v="3"/>
  </r>
  <r>
    <x v="139"/>
    <x v="0"/>
    <s v="Salaries"/>
    <s v="Salaries - Details"/>
    <n v="49400"/>
    <x v="0"/>
    <n v="3"/>
  </r>
  <r>
    <x v="139"/>
    <x v="0"/>
    <s v="Salaries"/>
    <s v="Salaries - Details"/>
    <n v="51100"/>
    <x v="0"/>
    <n v="3"/>
  </r>
  <r>
    <x v="140"/>
    <x v="0"/>
    <s v="Salaries"/>
    <s v="Salaries - Details"/>
    <n v="48500"/>
    <x v="0"/>
    <n v="3"/>
  </r>
  <r>
    <x v="140"/>
    <x v="0"/>
    <s v="Salaries"/>
    <s v="Salaries - Details"/>
    <n v="51000"/>
    <x v="0"/>
    <n v="3"/>
  </r>
  <r>
    <x v="140"/>
    <x v="0"/>
    <s v="Salaries"/>
    <s v="Salaries - Details"/>
    <n v="50700"/>
    <x v="0"/>
    <n v="3"/>
  </r>
  <r>
    <x v="140"/>
    <x v="0"/>
    <s v="Salaries"/>
    <s v="Salaries - Details"/>
    <n v="49500"/>
    <x v="0"/>
    <n v="3"/>
  </r>
  <r>
    <x v="141"/>
    <x v="3"/>
    <s v="Discounts"/>
    <s v="Discounts - Details"/>
    <n v="11150"/>
    <x v="0"/>
    <n v="3"/>
  </r>
  <r>
    <x v="141"/>
    <x v="0"/>
    <s v="Salaries"/>
    <s v="Salaries - Details"/>
    <n v="49700"/>
    <x v="0"/>
    <n v="3"/>
  </r>
  <r>
    <x v="141"/>
    <x v="0"/>
    <s v="Salaries"/>
    <s v="Salaries - Details"/>
    <n v="50300"/>
    <x v="0"/>
    <n v="3"/>
  </r>
  <r>
    <x v="141"/>
    <x v="0"/>
    <s v="Salaries"/>
    <s v="Salaries - Details"/>
    <n v="49600"/>
    <x v="0"/>
    <n v="3"/>
  </r>
  <r>
    <x v="142"/>
    <x v="0"/>
    <s v="Recruitment"/>
    <s v="Recruitment - Details"/>
    <n v="40756"/>
    <x v="0"/>
    <n v="3"/>
  </r>
  <r>
    <x v="143"/>
    <x v="1"/>
    <s v="Office Supplies"/>
    <s v="Office Supplies - Details"/>
    <n v="9780"/>
    <x v="0"/>
    <n v="3"/>
  </r>
  <r>
    <x v="143"/>
    <x v="3"/>
    <s v="Revenue"/>
    <s v="Revenue - Details"/>
    <n v="134000"/>
    <x v="1"/>
    <n v="3"/>
  </r>
  <r>
    <x v="144"/>
    <x v="2"/>
    <s v="Consulting"/>
    <s v="Consulting - Details"/>
    <n v="41641"/>
    <x v="0"/>
    <n v="3"/>
  </r>
  <r>
    <x v="145"/>
    <x v="1"/>
    <s v="Office Supplies"/>
    <s v="Office Supplies - Details"/>
    <n v="11000"/>
    <x v="0"/>
    <n v="3"/>
  </r>
  <r>
    <x v="146"/>
    <x v="2"/>
    <s v="Hardware"/>
    <s v="Hardware - Details"/>
    <n v="20494"/>
    <x v="0"/>
    <n v="3"/>
  </r>
  <r>
    <x v="147"/>
    <x v="1"/>
    <s v="Office Supplies"/>
    <s v="Office Supplies - Details"/>
    <n v="28872"/>
    <x v="0"/>
    <n v="3"/>
  </r>
  <r>
    <x v="147"/>
    <x v="4"/>
    <s v="Bank Charges"/>
    <s v="Bank Charges - Details"/>
    <n v="15600"/>
    <x v="0"/>
    <n v="3"/>
  </r>
  <r>
    <x v="148"/>
    <x v="4"/>
    <s v="Bank Charges"/>
    <s v="Bank Charges - Details"/>
    <n v="17200"/>
    <x v="0"/>
    <n v="3"/>
  </r>
  <r>
    <x v="148"/>
    <x v="4"/>
    <s v="Bank Charges"/>
    <s v="Bank Charges - Details"/>
    <n v="15230"/>
    <x v="0"/>
    <n v="3"/>
  </r>
  <r>
    <x v="149"/>
    <x v="0"/>
    <s v="Training"/>
    <s v="Training - Details"/>
    <n v="32029"/>
    <x v="0"/>
    <n v="3"/>
  </r>
  <r>
    <x v="149"/>
    <x v="4"/>
    <s v="Bank Charges"/>
    <s v="Bank Charges - Details"/>
    <n v="15340"/>
    <x v="0"/>
    <n v="3"/>
  </r>
  <r>
    <x v="150"/>
    <x v="4"/>
    <s v="Bank Charges"/>
    <s v="Bank Charges - Details"/>
    <n v="15860"/>
    <x v="0"/>
    <n v="3"/>
  </r>
  <r>
    <x v="151"/>
    <x v="4"/>
    <s v="Bank Charges"/>
    <s v="Bank Charges - Details"/>
    <n v="16500"/>
    <x v="0"/>
    <n v="3"/>
  </r>
  <r>
    <x v="151"/>
    <x v="4"/>
    <s v="Bank Charges"/>
    <s v="Bank Charges - Details"/>
    <n v="16700"/>
    <x v="0"/>
    <n v="3"/>
  </r>
  <r>
    <x v="152"/>
    <x v="4"/>
    <s v="Bank Charges"/>
    <s v="Bank Charges - Details"/>
    <n v="16820"/>
    <x v="0"/>
    <n v="3"/>
  </r>
  <r>
    <x v="152"/>
    <x v="4"/>
    <s v="Bank Charges"/>
    <s v="Bank Charges - Details"/>
    <n v="16950"/>
    <x v="0"/>
    <n v="3"/>
  </r>
  <r>
    <x v="153"/>
    <x v="4"/>
    <s v="Bank Charges"/>
    <s v="Bank Charges - Details"/>
    <n v="15380"/>
    <x v="0"/>
    <n v="3"/>
  </r>
  <r>
    <x v="154"/>
    <x v="4"/>
    <s v="Bank Charges"/>
    <s v="Bank Charges - Details"/>
    <n v="17040"/>
    <x v="0"/>
    <n v="3"/>
  </r>
  <r>
    <x v="154"/>
    <x v="4"/>
    <s v="Bank Charges"/>
    <s v="Bank Charges - Details"/>
    <n v="16880"/>
    <x v="0"/>
    <n v="3"/>
  </r>
  <r>
    <x v="154"/>
    <x v="4"/>
    <s v="Bank Charges"/>
    <s v="Bank Charges - Details"/>
    <n v="16400"/>
    <x v="0"/>
    <n v="3"/>
  </r>
  <r>
    <x v="155"/>
    <x v="4"/>
    <s v="Bank Charges"/>
    <s v="Bank Charges - Details"/>
    <n v="16020"/>
    <x v="0"/>
    <n v="3"/>
  </r>
  <r>
    <x v="155"/>
    <x v="4"/>
    <s v="Bank Charges"/>
    <s v="Bank Charges - Details"/>
    <n v="16660"/>
    <x v="0"/>
    <n v="3"/>
  </r>
  <r>
    <x v="155"/>
    <x v="4"/>
    <s v="Bank Charges"/>
    <s v="Bank Charges - Details"/>
    <n v="16500"/>
    <x v="0"/>
    <n v="3"/>
  </r>
  <r>
    <x v="155"/>
    <x v="4"/>
    <s v="Bank Charges"/>
    <s v="Bank Charges - Details"/>
    <n v="16380"/>
    <x v="0"/>
    <n v="3"/>
  </r>
  <r>
    <x v="155"/>
    <x v="4"/>
    <s v="Bank Charges"/>
    <s v="Bank Charges - Details"/>
    <n v="16900"/>
    <x v="0"/>
    <n v="3"/>
  </r>
  <r>
    <x v="155"/>
    <x v="4"/>
    <s v="Bank Charges"/>
    <s v="Bank Charges - Details"/>
    <n v="16200"/>
    <x v="0"/>
    <n v="3"/>
  </r>
  <r>
    <x v="156"/>
    <x v="2"/>
    <s v="Maintenance"/>
    <s v="Maintenance - Details"/>
    <n v="21375"/>
    <x v="0"/>
    <n v="3"/>
  </r>
  <r>
    <x v="156"/>
    <x v="4"/>
    <s v="Bank Charges"/>
    <s v="Bank Charges - Details"/>
    <n v="16210"/>
    <x v="0"/>
    <n v="3"/>
  </r>
  <r>
    <x v="156"/>
    <x v="4"/>
    <s v="Bank Charges"/>
    <s v="Bank Charges - Details"/>
    <n v="17100"/>
    <x v="0"/>
    <n v="3"/>
  </r>
  <r>
    <x v="157"/>
    <x v="4"/>
    <s v="Interest"/>
    <s v="Interest - Details"/>
    <n v="91200"/>
    <x v="1"/>
    <n v="3"/>
  </r>
  <r>
    <x v="158"/>
    <x v="1"/>
    <s v="Utilities"/>
    <s v="Utilities - Details"/>
    <n v="13705"/>
    <x v="0"/>
    <n v="3"/>
  </r>
  <r>
    <x v="158"/>
    <x v="3"/>
    <s v="Revenue"/>
    <s v="Revenue - Details"/>
    <n v="10769"/>
    <x v="1"/>
    <n v="3"/>
  </r>
  <r>
    <x v="158"/>
    <x v="4"/>
    <s v="Interest"/>
    <s v="Interest - Details"/>
    <n v="92000"/>
    <x v="1"/>
    <n v="3"/>
  </r>
  <r>
    <x v="159"/>
    <x v="2"/>
    <s v="Consulting"/>
    <s v="Consulting - Details"/>
    <n v="9089"/>
    <x v="0"/>
    <n v="3"/>
  </r>
  <r>
    <x v="159"/>
    <x v="2"/>
    <s v="Maintenance"/>
    <s v="Maintenance - Details"/>
    <n v="22980"/>
    <x v="0"/>
    <n v="3"/>
  </r>
  <r>
    <x v="160"/>
    <x v="4"/>
    <s v="Investments"/>
    <s v="Investments - Details"/>
    <n v="126000"/>
    <x v="1"/>
    <n v="3"/>
  </r>
  <r>
    <x v="161"/>
    <x v="4"/>
    <s v="Investments"/>
    <s v="Investments - Details"/>
    <n v="118600"/>
    <x v="1"/>
    <n v="3"/>
  </r>
  <r>
    <x v="162"/>
    <x v="4"/>
    <s v="Loan"/>
    <s v="Loan - Details"/>
    <n v="17503"/>
    <x v="0"/>
    <n v="3"/>
  </r>
  <r>
    <x v="162"/>
    <x v="3"/>
    <s v="Incentive"/>
    <s v="Incentive - Details"/>
    <n v="16160"/>
    <x v="1"/>
    <n v="3"/>
  </r>
  <r>
    <x v="163"/>
    <x v="4"/>
    <s v="Interest"/>
    <s v="Interest - Details"/>
    <n v="99875"/>
    <x v="1"/>
    <n v="3"/>
  </r>
  <r>
    <x v="164"/>
    <x v="4"/>
    <s v="Interest"/>
    <s v="Interest - Details"/>
    <n v="88900"/>
    <x v="1"/>
    <n v="3"/>
  </r>
  <r>
    <x v="165"/>
    <x v="4"/>
    <s v="Bank Charges"/>
    <s v="Bank Charges - Details"/>
    <n v="14990"/>
    <x v="0"/>
    <n v="3"/>
  </r>
  <r>
    <x v="166"/>
    <x v="3"/>
    <s v="Revenue"/>
    <s v="Revenue - Details"/>
    <n v="145600"/>
    <x v="1"/>
    <n v="3"/>
  </r>
  <r>
    <x v="167"/>
    <x v="3"/>
    <s v="Revenue"/>
    <s v="Revenue - Details"/>
    <n v="36739"/>
    <x v="1"/>
    <n v="3"/>
  </r>
  <r>
    <x v="167"/>
    <x v="3"/>
    <s v="Incentive"/>
    <s v="Incentive - Details"/>
    <n v="13404"/>
    <x v="1"/>
    <n v="3"/>
  </r>
  <r>
    <x v="168"/>
    <x v="4"/>
    <s v="Investment"/>
    <s v="Investment - Details"/>
    <n v="7241"/>
    <x v="0"/>
    <n v="3"/>
  </r>
  <r>
    <x v="169"/>
    <x v="0"/>
    <s v="Salary"/>
    <s v="Salary - Details"/>
    <n v="24145"/>
    <x v="0"/>
    <n v="3"/>
  </r>
  <r>
    <x v="170"/>
    <x v="0"/>
    <s v="Training"/>
    <s v="Training - Details"/>
    <n v="15066"/>
    <x v="0"/>
    <n v="3"/>
  </r>
  <r>
    <x v="170"/>
    <x v="1"/>
    <s v="Maintenance"/>
    <s v="Maintenance - Details"/>
    <n v="48326"/>
    <x v="0"/>
    <n v="3"/>
  </r>
  <r>
    <x v="170"/>
    <x v="3"/>
    <s v="Revenue"/>
    <s v="Revenue - Details"/>
    <n v="154200"/>
    <x v="1"/>
    <n v="3"/>
  </r>
  <r>
    <x v="171"/>
    <x v="3"/>
    <s v="Commission"/>
    <s v="Commission - Details"/>
    <n v="21550"/>
    <x v="0"/>
    <n v="3"/>
  </r>
  <r>
    <x v="172"/>
    <x v="1"/>
    <s v="Utilities"/>
    <s v="Utilities - Details"/>
    <n v="18750"/>
    <x v="0"/>
    <n v="3"/>
  </r>
  <r>
    <x v="173"/>
    <x v="3"/>
    <s v="Commission"/>
    <s v="Commission - Details"/>
    <n v="22900"/>
    <x v="0"/>
    <n v="3"/>
  </r>
  <r>
    <x v="174"/>
    <x v="3"/>
    <s v="Commission"/>
    <s v="Commission - Details"/>
    <n v="24200"/>
    <x v="0"/>
    <n v="3"/>
  </r>
  <r>
    <x v="175"/>
    <x v="1"/>
    <s v="Utilities"/>
    <s v="Utilities - Details"/>
    <n v="39417"/>
    <x v="0"/>
    <n v="3"/>
  </r>
  <r>
    <x v="176"/>
    <x v="3"/>
    <s v="Commission"/>
    <s v="Commission - Details"/>
    <n v="49929"/>
    <x v="0"/>
    <n v="3"/>
  </r>
  <r>
    <x v="177"/>
    <x v="1"/>
    <s v="Utilities"/>
    <s v="Utilities - Details"/>
    <n v="18240"/>
    <x v="0"/>
    <n v="3"/>
  </r>
  <r>
    <x v="178"/>
    <x v="3"/>
    <s v="Revenue"/>
    <s v="Revenue - Details"/>
    <n v="131420"/>
    <x v="1"/>
    <n v="3"/>
  </r>
  <r>
    <x v="179"/>
    <x v="3"/>
    <s v="Revenue"/>
    <s v="Revenue - Details"/>
    <n v="140300"/>
    <x v="1"/>
    <n v="4"/>
  </r>
  <r>
    <x v="179"/>
    <x v="3"/>
    <s v="Revenue"/>
    <s v="Revenue - Details"/>
    <n v="144800"/>
    <x v="1"/>
    <n v="4"/>
  </r>
  <r>
    <x v="180"/>
    <x v="3"/>
    <s v="Commission"/>
    <s v="Commission - Details"/>
    <n v="23700"/>
    <x v="0"/>
    <n v="4"/>
  </r>
  <r>
    <x v="181"/>
    <x v="3"/>
    <s v="Commission"/>
    <s v="Commission - Details"/>
    <n v="23200"/>
    <x v="0"/>
    <n v="4"/>
  </r>
  <r>
    <x v="182"/>
    <x v="2"/>
    <s v="Software"/>
    <s v="Software - Details"/>
    <n v="16490"/>
    <x v="0"/>
    <n v="4"/>
  </r>
  <r>
    <x v="183"/>
    <x v="1"/>
    <s v="Office Supplies"/>
    <s v="Office Supplies - Details"/>
    <n v="12393"/>
    <x v="0"/>
    <n v="4"/>
  </r>
  <r>
    <x v="183"/>
    <x v="3"/>
    <s v="Commission"/>
    <s v="Commission - Details"/>
    <n v="24900"/>
    <x v="0"/>
    <n v="4"/>
  </r>
  <r>
    <x v="184"/>
    <x v="3"/>
    <s v="Commission"/>
    <s v="Commission - Details"/>
    <n v="24300"/>
    <x v="0"/>
    <n v="4"/>
  </r>
  <r>
    <x v="185"/>
    <x v="3"/>
    <s v="Commission"/>
    <s v="Commission - Details"/>
    <n v="24000"/>
    <x v="0"/>
    <n v="4"/>
  </r>
  <r>
    <x v="186"/>
    <x v="3"/>
    <s v="Commission"/>
    <s v="Commission - Details"/>
    <n v="25500"/>
    <x v="0"/>
    <n v="4"/>
  </r>
  <r>
    <x v="187"/>
    <x v="0"/>
    <s v="Salaries"/>
    <s v="Salaries - Details"/>
    <n v="48700"/>
    <x v="0"/>
    <n v="4"/>
  </r>
  <r>
    <x v="187"/>
    <x v="3"/>
    <s v="Commission"/>
    <s v="Commission - Details"/>
    <n v="25900"/>
    <x v="0"/>
    <n v="4"/>
  </r>
  <r>
    <x v="187"/>
    <x v="3"/>
    <s v="Commission"/>
    <s v="Commission - Details"/>
    <n v="25100"/>
    <x v="0"/>
    <n v="4"/>
  </r>
  <r>
    <x v="187"/>
    <x v="3"/>
    <s v="Commission"/>
    <s v="Commission - Details"/>
    <n v="25700"/>
    <x v="0"/>
    <n v="4"/>
  </r>
  <r>
    <x v="187"/>
    <x v="3"/>
    <s v="Commission"/>
    <s v="Commission - Details"/>
    <n v="25500"/>
    <x v="0"/>
    <n v="4"/>
  </r>
  <r>
    <x v="187"/>
    <x v="3"/>
    <s v="Commission"/>
    <s v="Commission - Details"/>
    <n v="25200"/>
    <x v="0"/>
    <n v="4"/>
  </r>
  <r>
    <x v="188"/>
    <x v="3"/>
    <s v="Revenue"/>
    <s v="Revenue - Details"/>
    <n v="17137"/>
    <x v="1"/>
    <n v="4"/>
  </r>
  <r>
    <x v="188"/>
    <x v="3"/>
    <s v="Commission"/>
    <s v="Commission - Details"/>
    <n v="24600"/>
    <x v="0"/>
    <n v="4"/>
  </r>
  <r>
    <x v="188"/>
    <x v="3"/>
    <s v="Commission"/>
    <s v="Commission - Details"/>
    <n v="24780"/>
    <x v="0"/>
    <n v="4"/>
  </r>
  <r>
    <x v="188"/>
    <x v="3"/>
    <s v="Commission"/>
    <s v="Commission - Details"/>
    <n v="24450"/>
    <x v="0"/>
    <n v="4"/>
  </r>
  <r>
    <x v="188"/>
    <x v="3"/>
    <s v="Commission"/>
    <s v="Commission - Details"/>
    <n v="24800"/>
    <x v="0"/>
    <n v="4"/>
  </r>
  <r>
    <x v="188"/>
    <x v="3"/>
    <s v="Commission"/>
    <s v="Commission - Details"/>
    <n v="25000"/>
    <x v="0"/>
    <n v="4"/>
  </r>
  <r>
    <x v="189"/>
    <x v="0"/>
    <s v="Salaries"/>
    <s v="Salaries - Details"/>
    <n v="50900"/>
    <x v="0"/>
    <n v="4"/>
  </r>
  <r>
    <x v="189"/>
    <x v="3"/>
    <s v="Commission"/>
    <s v="Commission - Details"/>
    <n v="25300"/>
    <x v="0"/>
    <n v="4"/>
  </r>
  <r>
    <x v="190"/>
    <x v="2"/>
    <s v="Software"/>
    <s v="Software - Details"/>
    <n v="15840"/>
    <x v="0"/>
    <n v="4"/>
  </r>
  <r>
    <x v="191"/>
    <x v="3"/>
    <s v="Commission"/>
    <s v="Commission - Details"/>
    <n v="11828"/>
    <x v="0"/>
    <n v="4"/>
  </r>
  <r>
    <x v="192"/>
    <x v="4"/>
    <s v="Interest"/>
    <s v="Interest - Details"/>
    <n v="34792"/>
    <x v="1"/>
    <n v="4"/>
  </r>
  <r>
    <x v="192"/>
    <x v="2"/>
    <s v="Consulting"/>
    <s v="Consulting - Details"/>
    <n v="21929"/>
    <x v="0"/>
    <n v="4"/>
  </r>
  <r>
    <x v="193"/>
    <x v="3"/>
    <s v="Revenue"/>
    <s v="Revenue - Details"/>
    <n v="21711"/>
    <x v="1"/>
    <n v="4"/>
  </r>
  <r>
    <x v="194"/>
    <x v="3"/>
    <s v="Revenue"/>
    <s v="Revenue - Details"/>
    <n v="135700"/>
    <x v="1"/>
    <n v="4"/>
  </r>
  <r>
    <x v="195"/>
    <x v="1"/>
    <s v="Utilities"/>
    <s v="Utilities - Details"/>
    <n v="22020"/>
    <x v="0"/>
    <n v="4"/>
  </r>
  <r>
    <x v="195"/>
    <x v="3"/>
    <s v="Revenue"/>
    <s v="Revenue - Details"/>
    <n v="137200"/>
    <x v="1"/>
    <n v="4"/>
  </r>
  <r>
    <x v="196"/>
    <x v="3"/>
    <s v="Revenue"/>
    <s v="Revenue - Details"/>
    <n v="128700"/>
    <x v="1"/>
    <n v="4"/>
  </r>
  <r>
    <x v="196"/>
    <x v="3"/>
    <s v="Revenue"/>
    <s v="Revenue - Details"/>
    <n v="138600"/>
    <x v="1"/>
    <n v="4"/>
  </r>
  <r>
    <x v="197"/>
    <x v="0"/>
    <s v="Salaries"/>
    <s v="Salaries - Details"/>
    <n v="47200"/>
    <x v="0"/>
    <n v="4"/>
  </r>
  <r>
    <x v="197"/>
    <x v="3"/>
    <s v="Revenue"/>
    <s v="Revenue - Details"/>
    <n v="139900"/>
    <x v="1"/>
    <n v="4"/>
  </r>
  <r>
    <x v="198"/>
    <x v="3"/>
    <s v="Revenue"/>
    <s v="Revenue - Details"/>
    <n v="131800"/>
    <x v="1"/>
    <n v="4"/>
  </r>
  <r>
    <x v="199"/>
    <x v="0"/>
    <s v="Salaries"/>
    <s v="Salaries - Details"/>
    <n v="49500"/>
    <x v="0"/>
    <n v="4"/>
  </r>
  <r>
    <x v="199"/>
    <x v="3"/>
    <s v="Revenue"/>
    <s v="Revenue - Details"/>
    <n v="136800"/>
    <x v="1"/>
    <n v="4"/>
  </r>
  <r>
    <x v="200"/>
    <x v="3"/>
    <s v="Revenue"/>
    <s v="Revenue - Details"/>
    <n v="141500"/>
    <x v="1"/>
    <n v="4"/>
  </r>
  <r>
    <x v="201"/>
    <x v="4"/>
    <s v="Investments"/>
    <s v="Investments - Details"/>
    <n v="108000"/>
    <x v="1"/>
    <n v="4"/>
  </r>
  <r>
    <x v="201"/>
    <x v="3"/>
    <s v="Revenue"/>
    <s v="Revenue - Details"/>
    <n v="143600"/>
    <x v="1"/>
    <n v="4"/>
  </r>
  <r>
    <x v="202"/>
    <x v="0"/>
    <s v="Recruitment"/>
    <s v="Recruitment - Details"/>
    <n v="18414"/>
    <x v="0"/>
    <n v="4"/>
  </r>
  <r>
    <x v="203"/>
    <x v="4"/>
    <s v="Investments"/>
    <s v="Investments - Details"/>
    <n v="110900"/>
    <x v="1"/>
    <n v="4"/>
  </r>
  <r>
    <x v="203"/>
    <x v="3"/>
    <s v="Revenue"/>
    <s v="Revenue - Details"/>
    <n v="142000"/>
    <x v="1"/>
    <n v="4"/>
  </r>
  <r>
    <x v="204"/>
    <x v="3"/>
    <s v="Incentive"/>
    <s v="Incentive - Details"/>
    <n v="33673"/>
    <x v="1"/>
    <n v="4"/>
  </r>
  <r>
    <x v="204"/>
    <x v="4"/>
    <s v="Investments"/>
    <s v="Investments - Details"/>
    <n v="112000"/>
    <x v="1"/>
    <n v="4"/>
  </r>
  <r>
    <x v="204"/>
    <x v="3"/>
    <s v="Revenue"/>
    <s v="Revenue - Details"/>
    <n v="140500"/>
    <x v="1"/>
    <n v="4"/>
  </r>
  <r>
    <x v="205"/>
    <x v="3"/>
    <s v="Revenue"/>
    <s v="Revenue - Details"/>
    <n v="150600"/>
    <x v="1"/>
    <n v="4"/>
  </r>
  <r>
    <x v="206"/>
    <x v="3"/>
    <s v="Incentive"/>
    <s v="Incentive - Details"/>
    <n v="35501"/>
    <x v="1"/>
    <n v="4"/>
  </r>
  <r>
    <x v="206"/>
    <x v="3"/>
    <s v="Revenue"/>
    <s v="Revenue - Details"/>
    <n v="147800"/>
    <x v="1"/>
    <n v="4"/>
  </r>
  <r>
    <x v="206"/>
    <x v="3"/>
    <s v="Revenue"/>
    <s v="Revenue - Details"/>
    <n v="148500"/>
    <x v="1"/>
    <n v="4"/>
  </r>
  <r>
    <x v="206"/>
    <x v="3"/>
    <s v="Revenue"/>
    <s v="Revenue - Details"/>
    <n v="152300"/>
    <x v="1"/>
    <n v="4"/>
  </r>
  <r>
    <x v="206"/>
    <x v="3"/>
    <s v="Revenue"/>
    <s v="Revenue - Details"/>
    <n v="151800"/>
    <x v="1"/>
    <n v="4"/>
  </r>
  <r>
    <x v="207"/>
    <x v="3"/>
    <s v="Incentive"/>
    <s v="Incentive - Details"/>
    <n v="14220"/>
    <x v="1"/>
    <n v="4"/>
  </r>
  <r>
    <x v="207"/>
    <x v="3"/>
    <s v="Revenue"/>
    <s v="Revenue - Details"/>
    <n v="145300"/>
    <x v="1"/>
    <n v="4"/>
  </r>
  <r>
    <x v="207"/>
    <x v="3"/>
    <s v="Revenue"/>
    <s v="Revenue - Details"/>
    <n v="149900"/>
    <x v="1"/>
    <n v="4"/>
  </r>
  <r>
    <x v="207"/>
    <x v="3"/>
    <s v="Revenue"/>
    <s v="Revenue - Details"/>
    <n v="150900"/>
    <x v="1"/>
    <n v="4"/>
  </r>
  <r>
    <x v="207"/>
    <x v="3"/>
    <s v="Revenue"/>
    <s v="Revenue - Details"/>
    <n v="153500"/>
    <x v="1"/>
    <n v="4"/>
  </r>
  <r>
    <x v="207"/>
    <x v="3"/>
    <s v="Revenue"/>
    <s v="Revenue - Details"/>
    <n v="149700"/>
    <x v="1"/>
    <n v="4"/>
  </r>
  <r>
    <x v="208"/>
    <x v="3"/>
    <s v="Revenue"/>
    <s v="Revenue - Details"/>
    <n v="146000"/>
    <x v="1"/>
    <n v="4"/>
  </r>
  <r>
    <x v="209"/>
    <x v="4"/>
    <s v="Investments"/>
    <s v="Investments - Details"/>
    <n v="116500"/>
    <x v="1"/>
    <n v="4"/>
  </r>
  <r>
    <x v="210"/>
    <x v="0"/>
    <s v="Training"/>
    <s v="Training - Details"/>
    <n v="6940"/>
    <x v="0"/>
    <n v="4"/>
  </r>
  <r>
    <x v="211"/>
    <x v="0"/>
    <s v="Training"/>
    <s v="Training - Details"/>
    <n v="6720"/>
    <x v="0"/>
    <n v="4"/>
  </r>
  <r>
    <x v="212"/>
    <x v="1"/>
    <s v="Maintenance"/>
    <s v="Maintenance - Details"/>
    <n v="28665"/>
    <x v="0"/>
    <n v="4"/>
  </r>
  <r>
    <x v="213"/>
    <x v="4"/>
    <s v="Investments"/>
    <s v="Investments - Details"/>
    <n v="125800"/>
    <x v="1"/>
    <n v="4"/>
  </r>
  <r>
    <x v="214"/>
    <x v="4"/>
    <s v="Investments"/>
    <s v="Investments - Details"/>
    <n v="125300"/>
    <x v="1"/>
    <n v="4"/>
  </r>
  <r>
    <x v="214"/>
    <x v="4"/>
    <s v="Investments"/>
    <s v="Investments - Details"/>
    <n v="126200"/>
    <x v="1"/>
    <n v="4"/>
  </r>
  <r>
    <x v="215"/>
    <x v="0"/>
    <s v="Recruitment"/>
    <s v="Recruitment - Details"/>
    <n v="8468"/>
    <x v="0"/>
    <n v="4"/>
  </r>
  <r>
    <x v="215"/>
    <x v="4"/>
    <s v="Investments"/>
    <s v="Investments - Details"/>
    <n v="122200"/>
    <x v="1"/>
    <n v="4"/>
  </r>
  <r>
    <x v="215"/>
    <x v="4"/>
    <s v="Investments"/>
    <s v="Investments - Details"/>
    <n v="122900"/>
    <x v="1"/>
    <n v="4"/>
  </r>
  <r>
    <x v="215"/>
    <x v="4"/>
    <s v="Investments"/>
    <s v="Investments - Details"/>
    <n v="124100"/>
    <x v="1"/>
    <n v="4"/>
  </r>
  <r>
    <x v="215"/>
    <x v="4"/>
    <s v="Investments"/>
    <s v="Investments - Details"/>
    <n v="127000"/>
    <x v="1"/>
    <n v="4"/>
  </r>
  <r>
    <x v="216"/>
    <x v="2"/>
    <s v="Software"/>
    <s v="Software - Details"/>
    <n v="30162"/>
    <x v="0"/>
    <n v="4"/>
  </r>
  <r>
    <x v="216"/>
    <x v="4"/>
    <s v="Investments"/>
    <s v="Investments - Details"/>
    <n v="118000"/>
    <x v="1"/>
    <n v="4"/>
  </r>
  <r>
    <x v="216"/>
    <x v="4"/>
    <s v="Investments"/>
    <s v="Investments - Details"/>
    <n v="121000"/>
    <x v="1"/>
    <n v="4"/>
  </r>
  <r>
    <x v="216"/>
    <x v="4"/>
    <s v="Investments"/>
    <s v="Investments - Details"/>
    <n v="122800"/>
    <x v="1"/>
    <n v="4"/>
  </r>
  <r>
    <x v="217"/>
    <x v="4"/>
    <s v="Investments"/>
    <s v="Investments - Details"/>
    <n v="120300"/>
    <x v="1"/>
    <n v="4"/>
  </r>
  <r>
    <x v="217"/>
    <x v="4"/>
    <s v="Investments"/>
    <s v="Investments - Details"/>
    <n v="120600"/>
    <x v="1"/>
    <n v="4"/>
  </r>
  <r>
    <x v="218"/>
    <x v="4"/>
    <s v="Investments"/>
    <s v="Investments - Details"/>
    <n v="117500"/>
    <x v="1"/>
    <n v="4"/>
  </r>
  <r>
    <x v="218"/>
    <x v="4"/>
    <s v="Investments"/>
    <s v="Investments - Details"/>
    <n v="121200"/>
    <x v="1"/>
    <n v="4"/>
  </r>
  <r>
    <x v="218"/>
    <x v="4"/>
    <s v="Investments"/>
    <s v="Investments - Details"/>
    <n v="128000"/>
    <x v="1"/>
    <n v="4"/>
  </r>
  <r>
    <x v="219"/>
    <x v="0"/>
    <s v="Recruitment"/>
    <s v="Recruitment - Details"/>
    <n v="42058"/>
    <x v="0"/>
    <n v="4"/>
  </r>
  <r>
    <x v="219"/>
    <x v="4"/>
    <s v="Investments"/>
    <s v="Investments - Details"/>
    <n v="124000"/>
    <x v="1"/>
    <n v="4"/>
  </r>
  <r>
    <x v="219"/>
    <x v="4"/>
    <s v="Investments"/>
    <s v="Investments - Details"/>
    <n v="126400"/>
    <x v="1"/>
    <n v="4"/>
  </r>
  <r>
    <x v="220"/>
    <x v="4"/>
    <s v="Investments"/>
    <s v="Investments - Details"/>
    <n v="123000"/>
    <x v="1"/>
    <n v="4"/>
  </r>
  <r>
    <x v="221"/>
    <x v="1"/>
    <s v="Office Supplies"/>
    <s v="Office Supplies - Details"/>
    <n v="47593"/>
    <x v="0"/>
    <n v="4"/>
  </r>
  <r>
    <x v="221"/>
    <x v="1"/>
    <s v="Utilities"/>
    <s v="Utilities - Details"/>
    <n v="16840"/>
    <x v="0"/>
    <n v="4"/>
  </r>
  <r>
    <x v="222"/>
    <x v="1"/>
    <s v="Utilities"/>
    <s v="Utilities - Details"/>
    <n v="16380"/>
    <x v="0"/>
    <n v="4"/>
  </r>
  <r>
    <x v="223"/>
    <x v="1"/>
    <s v="Utilities"/>
    <s v="Utilities - Details"/>
    <n v="17260"/>
    <x v="0"/>
    <n v="4"/>
  </r>
  <r>
    <x v="224"/>
    <x v="1"/>
    <s v="Utilities"/>
    <s v="Utilities - Details"/>
    <n v="18110"/>
    <x v="0"/>
    <n v="4"/>
  </r>
  <r>
    <x v="225"/>
    <x v="0"/>
    <s v="Training"/>
    <s v="Training - Details"/>
    <n v="20538"/>
    <x v="0"/>
    <n v="4"/>
  </r>
  <r>
    <x v="225"/>
    <x v="1"/>
    <s v="Utilities"/>
    <s v="Utilities - Details"/>
    <n v="17670"/>
    <x v="0"/>
    <n v="4"/>
  </r>
  <r>
    <x v="226"/>
    <x v="1"/>
    <s v="Utilities"/>
    <s v="Utilities - Details"/>
    <n v="18740"/>
    <x v="0"/>
    <n v="4"/>
  </r>
  <r>
    <x v="227"/>
    <x v="1"/>
    <s v="Utilities"/>
    <s v="Utilities - Details"/>
    <n v="18010"/>
    <x v="0"/>
    <n v="4"/>
  </r>
  <r>
    <x v="227"/>
    <x v="1"/>
    <s v="Utilities"/>
    <s v="Utilities - Details"/>
    <n v="17650"/>
    <x v="0"/>
    <n v="4"/>
  </r>
  <r>
    <x v="228"/>
    <x v="2"/>
    <s v="Hardware"/>
    <s v="Hardware - Details"/>
    <n v="10286"/>
    <x v="0"/>
    <n v="4"/>
  </r>
  <r>
    <x v="228"/>
    <x v="1"/>
    <s v="Utilities"/>
    <s v="Utilities - Details"/>
    <n v="17490"/>
    <x v="0"/>
    <n v="4"/>
  </r>
  <r>
    <x v="228"/>
    <x v="1"/>
    <s v="Utilities"/>
    <s v="Utilities - Details"/>
    <n v="18120"/>
    <x v="0"/>
    <n v="4"/>
  </r>
  <r>
    <x v="229"/>
    <x v="4"/>
    <s v="Interest"/>
    <s v="Interest - Details"/>
    <n v="20520"/>
    <x v="1"/>
    <n v="4"/>
  </r>
  <r>
    <x v="229"/>
    <x v="1"/>
    <s v="Utilities"/>
    <s v="Utilities - Details"/>
    <n v="18230"/>
    <x v="0"/>
    <n v="4"/>
  </r>
  <r>
    <x v="229"/>
    <x v="1"/>
    <s v="Utilities"/>
    <s v="Utilities - Details"/>
    <n v="18050"/>
    <x v="0"/>
    <n v="4"/>
  </r>
  <r>
    <x v="229"/>
    <x v="1"/>
    <s v="Utilities"/>
    <s v="Utilities - Details"/>
    <n v="18100"/>
    <x v="0"/>
    <n v="4"/>
  </r>
  <r>
    <x v="230"/>
    <x v="1"/>
    <s v="Utilities"/>
    <s v="Utilities - Details"/>
    <n v="17900"/>
    <x v="0"/>
    <n v="4"/>
  </r>
  <r>
    <x v="230"/>
    <x v="1"/>
    <s v="Utilities"/>
    <s v="Utilities - Details"/>
    <n v="17690"/>
    <x v="0"/>
    <n v="4"/>
  </r>
  <r>
    <x v="230"/>
    <x v="1"/>
    <s v="Utilities"/>
    <s v="Utilities - Details"/>
    <n v="17990"/>
    <x v="0"/>
    <n v="4"/>
  </r>
  <r>
    <x v="230"/>
    <x v="1"/>
    <s v="Utilities"/>
    <s v="Utilities - Details"/>
    <n v="17770"/>
    <x v="0"/>
    <n v="4"/>
  </r>
  <r>
    <x v="230"/>
    <x v="1"/>
    <s v="Utilities"/>
    <s v="Utilities - Details"/>
    <n v="17900"/>
    <x v="0"/>
    <n v="4"/>
  </r>
  <r>
    <x v="231"/>
    <x v="1"/>
    <s v="Utilities"/>
    <s v="Utilities - Details"/>
    <n v="18340"/>
    <x v="0"/>
    <n v="4"/>
  </r>
  <r>
    <x v="231"/>
    <x v="1"/>
    <s v="Utilities"/>
    <s v="Utilities - Details"/>
    <n v="18250"/>
    <x v="0"/>
    <n v="4"/>
  </r>
  <r>
    <x v="231"/>
    <x v="1"/>
    <s v="Utilities"/>
    <s v="Utilities - Details"/>
    <n v="18500"/>
    <x v="0"/>
    <n v="4"/>
  </r>
  <r>
    <x v="231"/>
    <x v="1"/>
    <s v="Utilities"/>
    <s v="Utilities - Details"/>
    <n v="18300"/>
    <x v="0"/>
    <n v="4"/>
  </r>
  <r>
    <x v="232"/>
    <x v="4"/>
    <s v="Loan"/>
    <s v="Loan - Details"/>
    <n v="35275"/>
    <x v="0"/>
    <n v="4"/>
  </r>
  <r>
    <x v="233"/>
    <x v="4"/>
    <s v="Loan"/>
    <s v="Loan - Details"/>
    <n v="44778"/>
    <x v="0"/>
    <n v="4"/>
  </r>
  <r>
    <x v="233"/>
    <x v="0"/>
    <s v="Recruitment"/>
    <s v="Recruitment - Details"/>
    <n v="45260"/>
    <x v="0"/>
    <n v="4"/>
  </r>
  <r>
    <x v="234"/>
    <x v="3"/>
    <s v="Revenue"/>
    <s v="Revenue - Details"/>
    <n v="142650"/>
    <x v="1"/>
    <n v="4"/>
  </r>
  <r>
    <x v="235"/>
    <x v="3"/>
    <s v="Revenue"/>
    <s v="Revenue - Details"/>
    <n v="139250"/>
    <x v="1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2857F2-B6C1-4F9D-B754-1A2E2634AE9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G7" firstHeaderRow="1" firstDataRow="2" firstDataCol="1"/>
  <pivotFields count="11">
    <pivotField name="Month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6">
        <item x="1"/>
        <item x="4"/>
        <item x="0"/>
        <item x="2"/>
        <item x="3"/>
        <item t="default"/>
      </items>
    </pivotField>
    <pivotField showAll="0"/>
    <pivotField showAll="0"/>
    <pivotField dataField="1" numFmtId="164" showAll="0"/>
    <pivotField axis="axisRow" showAll="0">
      <items count="3">
        <item sd="0" x="1"/>
        <item sd="0" x="0"/>
        <item t="default"/>
      </items>
    </pivotField>
    <pivotField numFmtId="1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4">
    <field x="5"/>
    <field x="8"/>
    <field x="7"/>
    <field x="0"/>
  </rowFields>
  <rowItems count="3">
    <i>
      <x/>
    </i>
    <i>
      <x v="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Amount" fld="4" baseField="0" baseItem="0"/>
  </dataFields>
  <formats count="38"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1" type="button" dataOnly="0" labelOnly="1" outline="0" axis="axisCol" fieldPosition="0"/>
    </format>
    <format dxfId="34">
      <pivotArea type="topRight" dataOnly="0" labelOnly="1" outline="0" fieldPosition="0"/>
    </format>
    <format dxfId="33">
      <pivotArea field="8" type="button" dataOnly="0" labelOnly="1" outline="0" axis="axisRow" fieldPosition="1"/>
    </format>
    <format dxfId="32">
      <pivotArea dataOnly="0" labelOnly="1" fieldPosition="0">
        <references count="1">
          <reference field="8" count="1">
            <x v="1"/>
          </reference>
        </references>
      </pivotArea>
    </format>
    <format dxfId="31">
      <pivotArea dataOnly="0" labelOnly="1" grandRow="1" outline="0" fieldPosition="0"/>
    </format>
    <format dxfId="30">
      <pivotArea dataOnly="0" labelOnly="1" fieldPosition="0">
        <references count="2">
          <reference field="7" count="4">
            <x v="1"/>
            <x v="2"/>
            <x v="3"/>
            <x v="4"/>
          </reference>
          <reference field="8" count="1" selected="0">
            <x v="1"/>
          </reference>
        </references>
      </pivotArea>
    </format>
    <format dxfId="29">
      <pivotArea dataOnly="0" labelOnly="1" fieldPosition="0">
        <references count="3">
          <reference field="0" count="3">
            <x v="1"/>
            <x v="2"/>
            <x v="3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28">
      <pivotArea dataOnly="0" labelOnly="1" fieldPosition="0">
        <references count="3">
          <reference field="0" count="3">
            <x v="4"/>
            <x v="5"/>
            <x v="6"/>
          </reference>
          <reference field="7" count="1" selected="0">
            <x v="2"/>
          </reference>
          <reference field="8" count="1" selected="0">
            <x v="1"/>
          </reference>
        </references>
      </pivotArea>
    </format>
    <format dxfId="27">
      <pivotArea dataOnly="0" labelOnly="1" fieldPosition="0">
        <references count="3">
          <reference field="0" count="3">
            <x v="7"/>
            <x v="8"/>
            <x v="9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26">
      <pivotArea dataOnly="0" labelOnly="1" fieldPosition="0">
        <references count="3">
          <reference field="0" count="3">
            <x v="10"/>
            <x v="11"/>
            <x v="12"/>
          </reference>
          <reference field="7" count="1" selected="0">
            <x v="4"/>
          </reference>
          <reference field="8" count="1" selected="0">
            <x v="1"/>
          </reference>
        </references>
      </pivotArea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Col="1" outline="0" fieldPosition="0"/>
    </format>
    <format dxfId="23">
      <pivotArea grandRow="1" outline="0" collapsedLevelsAreSubtotals="1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type="origin" dataOnly="0" labelOnly="1" outline="0" fieldPosition="0"/>
    </format>
    <format dxfId="19">
      <pivotArea field="1" type="button" dataOnly="0" labelOnly="1" outline="0" axis="axisCol" fieldPosition="0"/>
    </format>
    <format dxfId="18">
      <pivotArea type="topRight" dataOnly="0" labelOnly="1" outline="0" fieldPosition="0"/>
    </format>
    <format dxfId="17">
      <pivotArea field="5" type="button" dataOnly="0" labelOnly="1" outline="0" axis="axisRow" fieldPosition="0"/>
    </format>
    <format dxfId="16">
      <pivotArea dataOnly="0" labelOnly="1" fieldPosition="0">
        <references count="1">
          <reference field="5" count="0"/>
        </references>
      </pivotArea>
    </format>
    <format dxfId="15">
      <pivotArea dataOnly="0" labelOnly="1" grandRow="1" outline="0" fieldPosition="0"/>
    </format>
    <format dxfId="14">
      <pivotArea dataOnly="0" labelOnly="1" fieldPosition="0">
        <references count="2">
          <reference field="5" count="1" selected="0">
            <x v="1"/>
          </reference>
          <reference field="8" count="1">
            <x v="1"/>
          </reference>
        </references>
      </pivotArea>
    </format>
    <format dxfId="13">
      <pivotArea dataOnly="0" labelOnly="1" fieldPosition="0">
        <references count="2">
          <reference field="5" count="1" selected="0">
            <x v="0"/>
          </reference>
          <reference field="8" count="1">
            <x v="1"/>
          </reference>
        </references>
      </pivotArea>
    </format>
    <format dxfId="12">
      <pivotArea dataOnly="0" labelOnly="1" fieldPosition="0">
        <references count="3">
          <reference field="5" count="1" selected="0">
            <x v="1"/>
          </reference>
          <reference field="7" count="4">
            <x v="1"/>
            <x v="2"/>
            <x v="3"/>
            <x v="4"/>
          </reference>
          <reference field="8" count="1" selected="0">
            <x v="1"/>
          </reference>
        </references>
      </pivotArea>
    </format>
    <format dxfId="11">
      <pivotArea dataOnly="0" labelOnly="1" fieldPosition="0">
        <references count="3">
          <reference field="5" count="1" selected="0">
            <x v="0"/>
          </reference>
          <reference field="7" count="4">
            <x v="1"/>
            <x v="2"/>
            <x v="3"/>
            <x v="4"/>
          </reference>
          <reference field="8" count="1" selected="0">
            <x v="1"/>
          </reference>
        </references>
      </pivotArea>
    </format>
    <format dxfId="10">
      <pivotArea dataOnly="0" labelOnly="1" fieldPosition="0">
        <references count="4">
          <reference field="0" count="3">
            <x v="1"/>
            <x v="2"/>
            <x v="3"/>
          </reference>
          <reference field="5" count="1" selected="0">
            <x v="1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9">
      <pivotArea dataOnly="0" labelOnly="1" fieldPosition="0">
        <references count="4">
          <reference field="0" count="3">
            <x v="4"/>
            <x v="5"/>
            <x v="6"/>
          </reference>
          <reference field="5" count="1" selected="0">
            <x v="1"/>
          </reference>
          <reference field="7" count="1" selected="0">
            <x v="2"/>
          </reference>
          <reference field="8" count="1" selected="0">
            <x v="1"/>
          </reference>
        </references>
      </pivotArea>
    </format>
    <format dxfId="8">
      <pivotArea dataOnly="0" labelOnly="1" fieldPosition="0">
        <references count="4">
          <reference field="0" count="3">
            <x v="7"/>
            <x v="8"/>
            <x v="9"/>
          </reference>
          <reference field="5" count="1" selected="0">
            <x v="1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7">
      <pivotArea dataOnly="0" labelOnly="1" fieldPosition="0">
        <references count="4">
          <reference field="0" count="3">
            <x v="10"/>
            <x v="11"/>
            <x v="12"/>
          </reference>
          <reference field="5" count="1" selected="0">
            <x v="1"/>
          </reference>
          <reference field="7" count="1" selected="0">
            <x v="4"/>
          </reference>
          <reference field="8" count="1" selected="0">
            <x v="1"/>
          </reference>
        </references>
      </pivotArea>
    </format>
    <format dxfId="6">
      <pivotArea dataOnly="0" labelOnly="1" fieldPosition="0">
        <references count="4">
          <reference field="0" count="3">
            <x v="1"/>
            <x v="2"/>
            <x v="3"/>
          </reference>
          <reference field="5" count="1" selected="0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5">
      <pivotArea dataOnly="0" labelOnly="1" fieldPosition="0">
        <references count="4">
          <reference field="0" count="3">
            <x v="4"/>
            <x v="5"/>
            <x v="6"/>
          </reference>
          <reference field="5" count="1" selected="0">
            <x v="0"/>
          </reference>
          <reference field="7" count="1" selected="0">
            <x v="2"/>
          </reference>
          <reference field="8" count="1" selected="0">
            <x v="1"/>
          </reference>
        </references>
      </pivotArea>
    </format>
    <format dxfId="4">
      <pivotArea dataOnly="0" labelOnly="1" fieldPosition="0">
        <references count="4">
          <reference field="0" count="3">
            <x v="7"/>
            <x v="8"/>
            <x v="9"/>
          </reference>
          <reference field="5" count="1" selected="0">
            <x v="0"/>
          </reference>
          <reference field="7" count="1" selected="0">
            <x v="3"/>
          </reference>
          <reference field="8" count="1" selected="0">
            <x v="1"/>
          </reference>
        </references>
      </pivotArea>
    </format>
    <format dxfId="3">
      <pivotArea dataOnly="0" labelOnly="1" fieldPosition="0">
        <references count="4">
          <reference field="0" count="3">
            <x v="10"/>
            <x v="11"/>
            <x v="12"/>
          </reference>
          <reference field="5" count="1" selected="0">
            <x v="0"/>
          </reference>
          <reference field="7" count="1" selected="0">
            <x v="4"/>
          </reference>
          <reference field="8" count="1" selected="0">
            <x v="1"/>
          </reference>
        </references>
      </pivotArea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Col="1" outline="0" fieldPosition="0"/>
    </format>
  </formats>
  <chartFormats count="1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B1027F-DBC9-4EC7-ABD0-62E5B8E25C10}" name="Table1" displayName="Table1" ref="A1:G500" totalsRowShown="0" headerRowDxfId="50" dataDxfId="48" headerRowBorderDxfId="49" tableBorderDxfId="47" totalsRowBorderDxfId="46">
  <autoFilter ref="A1:G500" xr:uid="{85B1027F-DBC9-4EC7-ABD0-62E5B8E25C1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xmlns:xlrd2="http://schemas.microsoft.com/office/spreadsheetml/2017/richdata2" ref="A2:G500">
    <sortCondition ref="A1:A500"/>
  </sortState>
  <tableColumns count="7">
    <tableColumn id="1" xr3:uid="{2A05A4EF-B016-4A0E-BBC8-0F88C0748DE7}" name="Date" dataDxfId="45"/>
    <tableColumn id="2" xr3:uid="{9B80F7F5-666F-4177-AF11-9CD502C1D4DB}" name="Department" dataDxfId="44"/>
    <tableColumn id="3" xr3:uid="{21C4FEBD-7C8A-4107-B19C-5CAA11DF09D1}" name="Category" dataDxfId="43"/>
    <tableColumn id="4" xr3:uid="{6276EEB5-41FB-4048-BB86-03578E8C861D}" name="Description" dataDxfId="42"/>
    <tableColumn id="5" xr3:uid="{8426A429-EB85-40A9-ADF0-AFA6C14EF53E}" name="Amount" dataDxfId="41" dataCellStyle="Comma"/>
    <tableColumn id="6" xr3:uid="{1BD4CFA6-530A-4227-A4A9-1361BB255768}" name="Type" dataDxfId="40"/>
    <tableColumn id="7" xr3:uid="{A8C48A12-05B6-4A2C-A206-464492A3D923}" name="Quarter_Num" dataDxfId="39">
      <calculatedColumnFormula>INT((MONTH(A2)-1)/3)+1</calculatedColumnFormula>
    </tableColumn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  <wetp:taskpane dockstate="right" visibility="0" width="350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BD80286B-429B-4E9D-86F3-D3DC79A56E50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5D64432-4946-4E0B-9702-FBE28D5A9029}">
  <we:reference id="wa200006068" version="1.0.4.2" store="en-US" storeType="OMEX"/>
  <we:alternateReferences>
    <we:reference id="wa200006068" version="1.0.4.2" store="WA200006068" storeType="OMEX"/>
  </we:alternateReferences>
  <we:properties>
    <we:property name="Office.AutoShowTaskpaneWithDocument" value="true"/>
    <we:property name="workbook-id" value="&quot;ce655daf-4a32-45c5-9e99-36c0511d8bce&quot;"/>
    <we:property name="workbook-title" value="&quot;Hardik_Project1.xlsm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_xldudf_ROSIE_LLM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C5" sqref="C5"/>
    </sheetView>
  </sheetViews>
  <sheetFormatPr defaultRowHeight="15" x14ac:dyDescent="0.25"/>
  <cols>
    <col min="1" max="1" width="15.85546875" customWidth="1"/>
    <col min="2" max="2" width="48.42578125" bestFit="1" customWidth="1"/>
    <col min="6" max="6" width="6.28515625" customWidth="1"/>
  </cols>
  <sheetData>
    <row r="1" spans="1:8" ht="36.75" customHeight="1" x14ac:dyDescent="0.25">
      <c r="A1" s="52" t="s">
        <v>63</v>
      </c>
      <c r="B1" s="53"/>
      <c r="C1" s="53"/>
      <c r="D1" s="53"/>
      <c r="E1" s="53"/>
      <c r="F1" s="53"/>
      <c r="G1" s="53"/>
      <c r="H1" s="54"/>
    </row>
    <row r="3" spans="1:8" ht="40.5" customHeight="1" x14ac:dyDescent="0.25">
      <c r="A3" s="50" t="s">
        <v>65</v>
      </c>
      <c r="B3" s="50"/>
      <c r="C3" s="50"/>
      <c r="D3" s="50"/>
      <c r="E3" s="50"/>
      <c r="F3" s="50"/>
      <c r="G3" s="50"/>
      <c r="H3" s="50"/>
    </row>
    <row r="5" spans="1:8" ht="22.5" customHeight="1" x14ac:dyDescent="0.25">
      <c r="A5" s="2" t="s">
        <v>0</v>
      </c>
      <c r="B5" s="3" t="s">
        <v>1</v>
      </c>
    </row>
    <row r="6" spans="1:8" ht="16.5" x14ac:dyDescent="0.25">
      <c r="B6" s="3" t="s">
        <v>2</v>
      </c>
    </row>
    <row r="7" spans="1:8" ht="17.25" customHeight="1" x14ac:dyDescent="0.25">
      <c r="B7" s="3" t="s">
        <v>3</v>
      </c>
    </row>
    <row r="8" spans="1:8" ht="16.5" x14ac:dyDescent="0.25">
      <c r="B8" s="3" t="s">
        <v>4</v>
      </c>
    </row>
    <row r="10" spans="1:8" ht="40.5" customHeight="1" x14ac:dyDescent="0.25">
      <c r="A10" s="51" t="s">
        <v>5</v>
      </c>
      <c r="B10" s="51"/>
      <c r="C10" s="51"/>
      <c r="D10" s="51"/>
      <c r="E10" s="51"/>
      <c r="F10" s="51"/>
    </row>
    <row r="13" spans="1:8" x14ac:dyDescent="0.25">
      <c r="B13" s="1"/>
    </row>
  </sheetData>
  <mergeCells count="3">
    <mergeCell ref="A3:H3"/>
    <mergeCell ref="A10:F10"/>
    <mergeCell ref="A1:H1"/>
  </mergeCells>
  <conditionalFormatting sqref="B5:B8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744E5-BD7C-405A-AA97-D3C0D64B659A}">
  <sheetPr codeName="Sheet2"/>
  <dimension ref="A1:G500"/>
  <sheetViews>
    <sheetView workbookViewId="0">
      <selection activeCell="H2" sqref="H2"/>
    </sheetView>
  </sheetViews>
  <sheetFormatPr defaultRowHeight="15" x14ac:dyDescent="0.25"/>
  <cols>
    <col min="1" max="1" width="10.42578125" bestFit="1" customWidth="1"/>
    <col min="2" max="2" width="11.7109375" bestFit="1" customWidth="1"/>
    <col min="3" max="3" width="14.5703125" bestFit="1" customWidth="1"/>
    <col min="4" max="4" width="22.5703125" bestFit="1" customWidth="1"/>
    <col min="5" max="5" width="12.28515625" style="19" bestFit="1" customWidth="1"/>
    <col min="6" max="6" width="8.42578125" bestFit="1" customWidth="1"/>
    <col min="7" max="7" width="13.28515625" bestFit="1" customWidth="1"/>
  </cols>
  <sheetData>
    <row r="1" spans="1:7" x14ac:dyDescent="0.25">
      <c r="A1" s="9" t="s">
        <v>6</v>
      </c>
      <c r="B1" s="10" t="s">
        <v>7</v>
      </c>
      <c r="C1" s="10" t="s">
        <v>8</v>
      </c>
      <c r="D1" s="10" t="s">
        <v>9</v>
      </c>
      <c r="E1" s="15" t="s">
        <v>10</v>
      </c>
      <c r="F1" s="10" t="s">
        <v>11</v>
      </c>
      <c r="G1" s="11" t="s">
        <v>70</v>
      </c>
    </row>
    <row r="2" spans="1:7" x14ac:dyDescent="0.25">
      <c r="A2" s="7">
        <v>45292</v>
      </c>
      <c r="B2" s="5" t="s">
        <v>12</v>
      </c>
      <c r="C2" s="5" t="s">
        <v>16</v>
      </c>
      <c r="D2" s="5" t="s">
        <v>17</v>
      </c>
      <c r="E2" s="16">
        <v>7820</v>
      </c>
      <c r="F2" s="5" t="s">
        <v>15</v>
      </c>
      <c r="G2" s="8">
        <f t="shared" ref="G2:G65" si="0">INT((MONTH(A2)-1)/3)+1</f>
        <v>1</v>
      </c>
    </row>
    <row r="3" spans="1:7" x14ac:dyDescent="0.25">
      <c r="A3" s="7">
        <v>45293</v>
      </c>
      <c r="B3" s="5" t="s">
        <v>12</v>
      </c>
      <c r="C3" s="5" t="s">
        <v>45</v>
      </c>
      <c r="D3" s="5" t="s">
        <v>46</v>
      </c>
      <c r="E3" s="16">
        <v>5780</v>
      </c>
      <c r="F3" s="5" t="s">
        <v>15</v>
      </c>
      <c r="G3" s="8">
        <f t="shared" si="0"/>
        <v>1</v>
      </c>
    </row>
    <row r="4" spans="1:7" x14ac:dyDescent="0.25">
      <c r="A4" s="7">
        <v>45294</v>
      </c>
      <c r="B4" s="5" t="s">
        <v>34</v>
      </c>
      <c r="C4" s="5" t="s">
        <v>37</v>
      </c>
      <c r="D4" s="5" t="s">
        <v>38</v>
      </c>
      <c r="E4" s="16">
        <v>15670</v>
      </c>
      <c r="F4" s="5" t="s">
        <v>15</v>
      </c>
      <c r="G4" s="8">
        <f t="shared" si="0"/>
        <v>1</v>
      </c>
    </row>
    <row r="5" spans="1:7" x14ac:dyDescent="0.25">
      <c r="A5" s="7">
        <v>45294</v>
      </c>
      <c r="B5" s="5" t="s">
        <v>12</v>
      </c>
      <c r="C5" s="5" t="s">
        <v>45</v>
      </c>
      <c r="D5" s="5" t="s">
        <v>46</v>
      </c>
      <c r="E5" s="16">
        <v>6040</v>
      </c>
      <c r="F5" s="5" t="s">
        <v>15</v>
      </c>
      <c r="G5" s="8">
        <f t="shared" si="0"/>
        <v>1</v>
      </c>
    </row>
    <row r="6" spans="1:7" x14ac:dyDescent="0.25">
      <c r="A6" s="7">
        <v>45296</v>
      </c>
      <c r="B6" s="5" t="s">
        <v>34</v>
      </c>
      <c r="C6" s="5" t="s">
        <v>37</v>
      </c>
      <c r="D6" s="5" t="s">
        <v>38</v>
      </c>
      <c r="E6" s="16">
        <v>16450</v>
      </c>
      <c r="F6" s="5" t="s">
        <v>15</v>
      </c>
      <c r="G6" s="8">
        <f t="shared" si="0"/>
        <v>1</v>
      </c>
    </row>
    <row r="7" spans="1:7" x14ac:dyDescent="0.25">
      <c r="A7" s="6">
        <v>45297</v>
      </c>
      <c r="B7" s="4" t="s">
        <v>12</v>
      </c>
      <c r="C7" s="4" t="s">
        <v>13</v>
      </c>
      <c r="D7" s="4" t="s">
        <v>14</v>
      </c>
      <c r="E7" s="17">
        <v>11776</v>
      </c>
      <c r="F7" s="4" t="s">
        <v>15</v>
      </c>
      <c r="G7" s="8">
        <f t="shared" si="0"/>
        <v>1</v>
      </c>
    </row>
    <row r="8" spans="1:7" x14ac:dyDescent="0.25">
      <c r="A8" s="7">
        <v>45297</v>
      </c>
      <c r="B8" s="5" t="s">
        <v>34</v>
      </c>
      <c r="C8" s="5" t="s">
        <v>43</v>
      </c>
      <c r="D8" s="5" t="s">
        <v>44</v>
      </c>
      <c r="E8" s="16">
        <v>12490</v>
      </c>
      <c r="F8" s="5" t="s">
        <v>15</v>
      </c>
      <c r="G8" s="8">
        <f t="shared" si="0"/>
        <v>1</v>
      </c>
    </row>
    <row r="9" spans="1:7" x14ac:dyDescent="0.25">
      <c r="A9" s="7">
        <v>45297</v>
      </c>
      <c r="B9" s="5" t="s">
        <v>34</v>
      </c>
      <c r="C9" s="5" t="s">
        <v>55</v>
      </c>
      <c r="D9" s="5" t="s">
        <v>56</v>
      </c>
      <c r="E9" s="16">
        <v>42200</v>
      </c>
      <c r="F9" s="5" t="s">
        <v>15</v>
      </c>
      <c r="G9" s="8">
        <f t="shared" si="0"/>
        <v>1</v>
      </c>
    </row>
    <row r="10" spans="1:7" x14ac:dyDescent="0.25">
      <c r="A10" s="7">
        <v>45298</v>
      </c>
      <c r="B10" s="5" t="s">
        <v>34</v>
      </c>
      <c r="C10" s="5" t="s">
        <v>55</v>
      </c>
      <c r="D10" s="5" t="s">
        <v>56</v>
      </c>
      <c r="E10" s="16">
        <v>43500</v>
      </c>
      <c r="F10" s="5" t="s">
        <v>15</v>
      </c>
      <c r="G10" s="8">
        <f t="shared" si="0"/>
        <v>1</v>
      </c>
    </row>
    <row r="11" spans="1:7" x14ac:dyDescent="0.25">
      <c r="A11" s="7">
        <v>45299</v>
      </c>
      <c r="B11" s="5" t="s">
        <v>34</v>
      </c>
      <c r="C11" s="5" t="s">
        <v>43</v>
      </c>
      <c r="D11" s="5" t="s">
        <v>44</v>
      </c>
      <c r="E11" s="16">
        <v>13640</v>
      </c>
      <c r="F11" s="5" t="s">
        <v>15</v>
      </c>
      <c r="G11" s="8">
        <f t="shared" si="0"/>
        <v>1</v>
      </c>
    </row>
    <row r="12" spans="1:7" x14ac:dyDescent="0.25">
      <c r="A12" s="7">
        <v>45299</v>
      </c>
      <c r="B12" s="5" t="s">
        <v>34</v>
      </c>
      <c r="C12" s="5" t="s">
        <v>55</v>
      </c>
      <c r="D12" s="5" t="s">
        <v>56</v>
      </c>
      <c r="E12" s="16">
        <v>43000</v>
      </c>
      <c r="F12" s="5" t="s">
        <v>15</v>
      </c>
      <c r="G12" s="8">
        <f t="shared" si="0"/>
        <v>1</v>
      </c>
    </row>
    <row r="13" spans="1:7" x14ac:dyDescent="0.25">
      <c r="A13" s="7">
        <v>45300</v>
      </c>
      <c r="B13" s="5" t="s">
        <v>34</v>
      </c>
      <c r="C13" s="5" t="s">
        <v>55</v>
      </c>
      <c r="D13" s="5" t="s">
        <v>56</v>
      </c>
      <c r="E13" s="16">
        <v>40700</v>
      </c>
      <c r="F13" s="5" t="s">
        <v>15</v>
      </c>
      <c r="G13" s="8">
        <f t="shared" si="0"/>
        <v>1</v>
      </c>
    </row>
    <row r="14" spans="1:7" x14ac:dyDescent="0.25">
      <c r="A14" s="7">
        <v>45301</v>
      </c>
      <c r="B14" s="5" t="s">
        <v>34</v>
      </c>
      <c r="C14" s="5" t="s">
        <v>55</v>
      </c>
      <c r="D14" s="5" t="s">
        <v>56</v>
      </c>
      <c r="E14" s="16">
        <v>41900</v>
      </c>
      <c r="F14" s="5" t="s">
        <v>15</v>
      </c>
      <c r="G14" s="8">
        <f t="shared" si="0"/>
        <v>1</v>
      </c>
    </row>
    <row r="15" spans="1:7" x14ac:dyDescent="0.25">
      <c r="A15" s="7">
        <v>45303</v>
      </c>
      <c r="B15" s="5" t="s">
        <v>34</v>
      </c>
      <c r="C15" s="5" t="s">
        <v>55</v>
      </c>
      <c r="D15" s="5" t="s">
        <v>56</v>
      </c>
      <c r="E15" s="16">
        <v>43700</v>
      </c>
      <c r="F15" s="5" t="s">
        <v>15</v>
      </c>
      <c r="G15" s="8">
        <f t="shared" si="0"/>
        <v>1</v>
      </c>
    </row>
    <row r="16" spans="1:7" x14ac:dyDescent="0.25">
      <c r="A16" s="7">
        <v>45303</v>
      </c>
      <c r="B16" s="5" t="s">
        <v>34</v>
      </c>
      <c r="C16" s="5" t="s">
        <v>55</v>
      </c>
      <c r="D16" s="5" t="s">
        <v>56</v>
      </c>
      <c r="E16" s="16">
        <v>43600</v>
      </c>
      <c r="F16" s="5" t="s">
        <v>15</v>
      </c>
      <c r="G16" s="8">
        <f t="shared" si="0"/>
        <v>1</v>
      </c>
    </row>
    <row r="17" spans="1:7" x14ac:dyDescent="0.25">
      <c r="A17" s="7">
        <v>45303</v>
      </c>
      <c r="B17" s="5" t="s">
        <v>34</v>
      </c>
      <c r="C17" s="5" t="s">
        <v>55</v>
      </c>
      <c r="D17" s="5" t="s">
        <v>56</v>
      </c>
      <c r="E17" s="16">
        <v>44200</v>
      </c>
      <c r="F17" s="5" t="s">
        <v>15</v>
      </c>
      <c r="G17" s="8">
        <f t="shared" si="0"/>
        <v>1</v>
      </c>
    </row>
    <row r="18" spans="1:7" x14ac:dyDescent="0.25">
      <c r="A18" s="7">
        <v>45303</v>
      </c>
      <c r="B18" s="5" t="s">
        <v>34</v>
      </c>
      <c r="C18" s="5" t="s">
        <v>55</v>
      </c>
      <c r="D18" s="5" t="s">
        <v>56</v>
      </c>
      <c r="E18" s="16">
        <v>43900</v>
      </c>
      <c r="F18" s="5" t="s">
        <v>15</v>
      </c>
      <c r="G18" s="8">
        <f t="shared" si="0"/>
        <v>1</v>
      </c>
    </row>
    <row r="19" spans="1:7" x14ac:dyDescent="0.25">
      <c r="A19" s="7">
        <v>45304</v>
      </c>
      <c r="B19" s="5" t="s">
        <v>34</v>
      </c>
      <c r="C19" s="5" t="s">
        <v>55</v>
      </c>
      <c r="D19" s="5" t="s">
        <v>56</v>
      </c>
      <c r="E19" s="16">
        <v>44000</v>
      </c>
      <c r="F19" s="5" t="s">
        <v>15</v>
      </c>
      <c r="G19" s="8">
        <f t="shared" si="0"/>
        <v>1</v>
      </c>
    </row>
    <row r="20" spans="1:7" x14ac:dyDescent="0.25">
      <c r="A20" s="7">
        <v>45304</v>
      </c>
      <c r="B20" s="5" t="s">
        <v>34</v>
      </c>
      <c r="C20" s="5" t="s">
        <v>55</v>
      </c>
      <c r="D20" s="5" t="s">
        <v>56</v>
      </c>
      <c r="E20" s="16">
        <v>44400</v>
      </c>
      <c r="F20" s="5" t="s">
        <v>15</v>
      </c>
      <c r="G20" s="8">
        <f t="shared" si="0"/>
        <v>1</v>
      </c>
    </row>
    <row r="21" spans="1:7" x14ac:dyDescent="0.25">
      <c r="A21" s="7">
        <v>45304</v>
      </c>
      <c r="B21" s="5" t="s">
        <v>34</v>
      </c>
      <c r="C21" s="5" t="s">
        <v>55</v>
      </c>
      <c r="D21" s="5" t="s">
        <v>56</v>
      </c>
      <c r="E21" s="16">
        <v>44100</v>
      </c>
      <c r="F21" s="5" t="s">
        <v>15</v>
      </c>
      <c r="G21" s="8">
        <f t="shared" si="0"/>
        <v>1</v>
      </c>
    </row>
    <row r="22" spans="1:7" x14ac:dyDescent="0.25">
      <c r="A22" s="7">
        <v>45304</v>
      </c>
      <c r="B22" s="5" t="s">
        <v>34</v>
      </c>
      <c r="C22" s="5" t="s">
        <v>55</v>
      </c>
      <c r="D22" s="5" t="s">
        <v>56</v>
      </c>
      <c r="E22" s="16">
        <v>42900</v>
      </c>
      <c r="F22" s="5" t="s">
        <v>15</v>
      </c>
      <c r="G22" s="8">
        <f t="shared" si="0"/>
        <v>1</v>
      </c>
    </row>
    <row r="23" spans="1:7" x14ac:dyDescent="0.25">
      <c r="A23" s="7">
        <v>45304</v>
      </c>
      <c r="B23" s="5" t="s">
        <v>34</v>
      </c>
      <c r="C23" s="5" t="s">
        <v>55</v>
      </c>
      <c r="D23" s="5" t="s">
        <v>56</v>
      </c>
      <c r="E23" s="16">
        <v>44700</v>
      </c>
      <c r="F23" s="5" t="s">
        <v>15</v>
      </c>
      <c r="G23" s="8">
        <f t="shared" si="0"/>
        <v>1</v>
      </c>
    </row>
    <row r="24" spans="1:7" x14ac:dyDescent="0.25">
      <c r="A24" s="7">
        <v>45304</v>
      </c>
      <c r="B24" s="5" t="s">
        <v>34</v>
      </c>
      <c r="C24" s="5" t="s">
        <v>55</v>
      </c>
      <c r="D24" s="5" t="s">
        <v>56</v>
      </c>
      <c r="E24" s="16">
        <v>44800</v>
      </c>
      <c r="F24" s="5" t="s">
        <v>15</v>
      </c>
      <c r="G24" s="8">
        <f t="shared" si="0"/>
        <v>1</v>
      </c>
    </row>
    <row r="25" spans="1:7" x14ac:dyDescent="0.25">
      <c r="A25" s="6">
        <v>45305</v>
      </c>
      <c r="B25" s="4" t="s">
        <v>12</v>
      </c>
      <c r="C25" s="4" t="s">
        <v>13</v>
      </c>
      <c r="D25" s="4" t="s">
        <v>14</v>
      </c>
      <c r="E25" s="17">
        <v>37591</v>
      </c>
      <c r="F25" s="4" t="s">
        <v>15</v>
      </c>
      <c r="G25" s="8">
        <f t="shared" si="0"/>
        <v>1</v>
      </c>
    </row>
    <row r="26" spans="1:7" x14ac:dyDescent="0.25">
      <c r="A26" s="7">
        <v>45305</v>
      </c>
      <c r="B26" s="5" t="s">
        <v>34</v>
      </c>
      <c r="C26" s="5" t="s">
        <v>55</v>
      </c>
      <c r="D26" s="5" t="s">
        <v>56</v>
      </c>
      <c r="E26" s="16">
        <v>42300</v>
      </c>
      <c r="F26" s="5" t="s">
        <v>15</v>
      </c>
      <c r="G26" s="8">
        <f t="shared" si="0"/>
        <v>1</v>
      </c>
    </row>
    <row r="27" spans="1:7" x14ac:dyDescent="0.25">
      <c r="A27" s="7">
        <v>45305</v>
      </c>
      <c r="B27" s="5" t="s">
        <v>34</v>
      </c>
      <c r="C27" s="5" t="s">
        <v>55</v>
      </c>
      <c r="D27" s="5" t="s">
        <v>56</v>
      </c>
      <c r="E27" s="16">
        <v>43800</v>
      </c>
      <c r="F27" s="5" t="s">
        <v>15</v>
      </c>
      <c r="G27" s="8">
        <f t="shared" si="0"/>
        <v>1</v>
      </c>
    </row>
    <row r="28" spans="1:7" x14ac:dyDescent="0.25">
      <c r="A28" s="7">
        <v>45305</v>
      </c>
      <c r="B28" s="5" t="s">
        <v>34</v>
      </c>
      <c r="C28" s="5" t="s">
        <v>55</v>
      </c>
      <c r="D28" s="5" t="s">
        <v>56</v>
      </c>
      <c r="E28" s="16">
        <v>44100</v>
      </c>
      <c r="F28" s="5" t="s">
        <v>15</v>
      </c>
      <c r="G28" s="8">
        <f t="shared" si="0"/>
        <v>1</v>
      </c>
    </row>
    <row r="29" spans="1:7" x14ac:dyDescent="0.25">
      <c r="A29" s="7">
        <v>45306</v>
      </c>
      <c r="B29" s="5" t="s">
        <v>34</v>
      </c>
      <c r="C29" s="5" t="s">
        <v>55</v>
      </c>
      <c r="D29" s="5" t="s">
        <v>56</v>
      </c>
      <c r="E29" s="16">
        <v>43000</v>
      </c>
      <c r="F29" s="5" t="s">
        <v>15</v>
      </c>
      <c r="G29" s="8">
        <f t="shared" si="0"/>
        <v>1</v>
      </c>
    </row>
    <row r="30" spans="1:7" x14ac:dyDescent="0.25">
      <c r="A30" s="6">
        <v>45309</v>
      </c>
      <c r="B30" s="4" t="s">
        <v>12</v>
      </c>
      <c r="C30" s="4" t="s">
        <v>16</v>
      </c>
      <c r="D30" s="4" t="s">
        <v>17</v>
      </c>
      <c r="E30" s="17">
        <v>29583</v>
      </c>
      <c r="F30" s="4" t="s">
        <v>15</v>
      </c>
      <c r="G30" s="8">
        <f t="shared" si="0"/>
        <v>1</v>
      </c>
    </row>
    <row r="31" spans="1:7" x14ac:dyDescent="0.25">
      <c r="A31" s="7">
        <v>45312</v>
      </c>
      <c r="B31" s="5" t="s">
        <v>34</v>
      </c>
      <c r="C31" s="5" t="s">
        <v>43</v>
      </c>
      <c r="D31" s="5" t="s">
        <v>44</v>
      </c>
      <c r="E31" s="16">
        <v>10190</v>
      </c>
      <c r="F31" s="5" t="s">
        <v>15</v>
      </c>
      <c r="G31" s="8">
        <f t="shared" si="0"/>
        <v>1</v>
      </c>
    </row>
    <row r="32" spans="1:7" x14ac:dyDescent="0.25">
      <c r="A32" s="7">
        <v>45313</v>
      </c>
      <c r="B32" s="5" t="s">
        <v>34</v>
      </c>
      <c r="C32" s="5" t="s">
        <v>43</v>
      </c>
      <c r="D32" s="5" t="s">
        <v>44</v>
      </c>
      <c r="E32" s="16">
        <v>12050</v>
      </c>
      <c r="F32" s="5" t="s">
        <v>15</v>
      </c>
      <c r="G32" s="8">
        <f t="shared" si="0"/>
        <v>1</v>
      </c>
    </row>
    <row r="33" spans="1:7" x14ac:dyDescent="0.25">
      <c r="A33" s="7">
        <v>45314</v>
      </c>
      <c r="B33" s="5" t="s">
        <v>34</v>
      </c>
      <c r="C33" s="5" t="s">
        <v>43</v>
      </c>
      <c r="D33" s="5" t="s">
        <v>44</v>
      </c>
      <c r="E33" s="16">
        <v>10260</v>
      </c>
      <c r="F33" s="5" t="s">
        <v>15</v>
      </c>
      <c r="G33" s="8">
        <f t="shared" si="0"/>
        <v>1</v>
      </c>
    </row>
    <row r="34" spans="1:7" x14ac:dyDescent="0.25">
      <c r="A34" s="7">
        <v>45314</v>
      </c>
      <c r="B34" s="5" t="s">
        <v>34</v>
      </c>
      <c r="C34" s="5" t="s">
        <v>43</v>
      </c>
      <c r="D34" s="5" t="s">
        <v>44</v>
      </c>
      <c r="E34" s="16">
        <v>10580</v>
      </c>
      <c r="F34" s="5" t="s">
        <v>15</v>
      </c>
      <c r="G34" s="8">
        <f t="shared" si="0"/>
        <v>1</v>
      </c>
    </row>
    <row r="35" spans="1:7" x14ac:dyDescent="0.25">
      <c r="A35" s="6">
        <v>45315</v>
      </c>
      <c r="B35" s="4" t="s">
        <v>22</v>
      </c>
      <c r="C35" s="4" t="s">
        <v>39</v>
      </c>
      <c r="D35" s="4" t="s">
        <v>40</v>
      </c>
      <c r="E35" s="17">
        <v>41549</v>
      </c>
      <c r="F35" s="4" t="s">
        <v>15</v>
      </c>
      <c r="G35" s="8">
        <f t="shared" si="0"/>
        <v>1</v>
      </c>
    </row>
    <row r="36" spans="1:7" x14ac:dyDescent="0.25">
      <c r="A36" s="7">
        <v>45315</v>
      </c>
      <c r="B36" s="5" t="s">
        <v>34</v>
      </c>
      <c r="C36" s="5" t="s">
        <v>43</v>
      </c>
      <c r="D36" s="5" t="s">
        <v>44</v>
      </c>
      <c r="E36" s="16">
        <v>10490</v>
      </c>
      <c r="F36" s="5" t="s">
        <v>15</v>
      </c>
      <c r="G36" s="8">
        <f t="shared" si="0"/>
        <v>1</v>
      </c>
    </row>
    <row r="37" spans="1:7" x14ac:dyDescent="0.25">
      <c r="A37" s="7">
        <v>45315</v>
      </c>
      <c r="B37" s="5" t="s">
        <v>34</v>
      </c>
      <c r="C37" s="5" t="s">
        <v>43</v>
      </c>
      <c r="D37" s="5" t="s">
        <v>44</v>
      </c>
      <c r="E37" s="16">
        <v>11280</v>
      </c>
      <c r="F37" s="5" t="s">
        <v>15</v>
      </c>
      <c r="G37" s="8">
        <f t="shared" si="0"/>
        <v>1</v>
      </c>
    </row>
    <row r="38" spans="1:7" x14ac:dyDescent="0.25">
      <c r="A38" s="7">
        <v>45315</v>
      </c>
      <c r="B38" s="5" t="s">
        <v>34</v>
      </c>
      <c r="C38" s="5" t="s">
        <v>43</v>
      </c>
      <c r="D38" s="5" t="s">
        <v>44</v>
      </c>
      <c r="E38" s="16">
        <v>11690</v>
      </c>
      <c r="F38" s="5" t="s">
        <v>15</v>
      </c>
      <c r="G38" s="8">
        <f t="shared" si="0"/>
        <v>1</v>
      </c>
    </row>
    <row r="39" spans="1:7" x14ac:dyDescent="0.25">
      <c r="A39" s="6">
        <v>45316</v>
      </c>
      <c r="B39" s="4" t="s">
        <v>18</v>
      </c>
      <c r="C39" s="4" t="s">
        <v>19</v>
      </c>
      <c r="D39" s="4" t="s">
        <v>20</v>
      </c>
      <c r="E39" s="17">
        <v>9877</v>
      </c>
      <c r="F39" s="4" t="s">
        <v>21</v>
      </c>
      <c r="G39" s="8">
        <f t="shared" si="0"/>
        <v>1</v>
      </c>
    </row>
    <row r="40" spans="1:7" x14ac:dyDescent="0.25">
      <c r="A40" s="7">
        <v>45316</v>
      </c>
      <c r="B40" s="5" t="s">
        <v>34</v>
      </c>
      <c r="C40" s="5" t="s">
        <v>43</v>
      </c>
      <c r="D40" s="5" t="s">
        <v>44</v>
      </c>
      <c r="E40" s="16">
        <v>11120</v>
      </c>
      <c r="F40" s="5" t="s">
        <v>15</v>
      </c>
      <c r="G40" s="8">
        <f t="shared" si="0"/>
        <v>1</v>
      </c>
    </row>
    <row r="41" spans="1:7" x14ac:dyDescent="0.25">
      <c r="A41" s="6">
        <v>45317</v>
      </c>
      <c r="B41" s="4" t="s">
        <v>25</v>
      </c>
      <c r="C41" s="4" t="s">
        <v>28</v>
      </c>
      <c r="D41" s="4" t="s">
        <v>29</v>
      </c>
      <c r="E41" s="17">
        <v>10008</v>
      </c>
      <c r="F41" s="4" t="s">
        <v>15</v>
      </c>
      <c r="G41" s="8">
        <f t="shared" si="0"/>
        <v>1</v>
      </c>
    </row>
    <row r="42" spans="1:7" x14ac:dyDescent="0.25">
      <c r="A42" s="7">
        <v>45317</v>
      </c>
      <c r="B42" s="5" t="s">
        <v>34</v>
      </c>
      <c r="C42" s="5" t="s">
        <v>43</v>
      </c>
      <c r="D42" s="5" t="s">
        <v>44</v>
      </c>
      <c r="E42" s="16">
        <v>11750</v>
      </c>
      <c r="F42" s="5" t="s">
        <v>15</v>
      </c>
      <c r="G42" s="8">
        <f t="shared" si="0"/>
        <v>1</v>
      </c>
    </row>
    <row r="43" spans="1:7" x14ac:dyDescent="0.25">
      <c r="A43" s="7">
        <v>45317</v>
      </c>
      <c r="B43" s="5" t="s">
        <v>34</v>
      </c>
      <c r="C43" s="5" t="s">
        <v>43</v>
      </c>
      <c r="D43" s="5" t="s">
        <v>44</v>
      </c>
      <c r="E43" s="16">
        <v>11400</v>
      </c>
      <c r="F43" s="5" t="s">
        <v>15</v>
      </c>
      <c r="G43" s="8">
        <f t="shared" si="0"/>
        <v>1</v>
      </c>
    </row>
    <row r="44" spans="1:7" x14ac:dyDescent="0.25">
      <c r="A44" s="7">
        <v>45318</v>
      </c>
      <c r="B44" s="5" t="s">
        <v>34</v>
      </c>
      <c r="C44" s="5" t="s">
        <v>43</v>
      </c>
      <c r="D44" s="5" t="s">
        <v>44</v>
      </c>
      <c r="E44" s="16">
        <v>11990</v>
      </c>
      <c r="F44" s="5" t="s">
        <v>15</v>
      </c>
      <c r="G44" s="8">
        <f t="shared" si="0"/>
        <v>1</v>
      </c>
    </row>
    <row r="45" spans="1:7" x14ac:dyDescent="0.25">
      <c r="A45" s="7">
        <v>45318</v>
      </c>
      <c r="B45" s="5" t="s">
        <v>34</v>
      </c>
      <c r="C45" s="5" t="s">
        <v>43</v>
      </c>
      <c r="D45" s="5" t="s">
        <v>44</v>
      </c>
      <c r="E45" s="16">
        <v>12250</v>
      </c>
      <c r="F45" s="5" t="s">
        <v>15</v>
      </c>
      <c r="G45" s="8">
        <f t="shared" si="0"/>
        <v>1</v>
      </c>
    </row>
    <row r="46" spans="1:7" x14ac:dyDescent="0.25">
      <c r="A46" s="7">
        <v>45318</v>
      </c>
      <c r="B46" s="5" t="s">
        <v>34</v>
      </c>
      <c r="C46" s="5" t="s">
        <v>43</v>
      </c>
      <c r="D46" s="5" t="s">
        <v>44</v>
      </c>
      <c r="E46" s="16">
        <v>11700</v>
      </c>
      <c r="F46" s="5" t="s">
        <v>15</v>
      </c>
      <c r="G46" s="8">
        <f t="shared" si="0"/>
        <v>1</v>
      </c>
    </row>
    <row r="47" spans="1:7" x14ac:dyDescent="0.25">
      <c r="A47" s="7">
        <v>45319</v>
      </c>
      <c r="B47" s="5" t="s">
        <v>12</v>
      </c>
      <c r="C47" s="5" t="s">
        <v>16</v>
      </c>
      <c r="D47" s="5" t="s">
        <v>17</v>
      </c>
      <c r="E47" s="16">
        <v>7340</v>
      </c>
      <c r="F47" s="5" t="s">
        <v>15</v>
      </c>
      <c r="G47" s="8">
        <f t="shared" si="0"/>
        <v>1</v>
      </c>
    </row>
    <row r="48" spans="1:7" x14ac:dyDescent="0.25">
      <c r="A48" s="7">
        <v>45319</v>
      </c>
      <c r="B48" s="5" t="s">
        <v>12</v>
      </c>
      <c r="C48" s="5" t="s">
        <v>16</v>
      </c>
      <c r="D48" s="5" t="s">
        <v>17</v>
      </c>
      <c r="E48" s="16">
        <v>7220</v>
      </c>
      <c r="F48" s="5" t="s">
        <v>15</v>
      </c>
      <c r="G48" s="8">
        <f t="shared" si="0"/>
        <v>1</v>
      </c>
    </row>
    <row r="49" spans="1:7" x14ac:dyDescent="0.25">
      <c r="A49" s="7">
        <v>45319</v>
      </c>
      <c r="B49" s="5" t="s">
        <v>34</v>
      </c>
      <c r="C49" s="5" t="s">
        <v>43</v>
      </c>
      <c r="D49" s="5" t="s">
        <v>44</v>
      </c>
      <c r="E49" s="16">
        <v>12100</v>
      </c>
      <c r="F49" s="5" t="s">
        <v>15</v>
      </c>
      <c r="G49" s="8">
        <f t="shared" si="0"/>
        <v>1</v>
      </c>
    </row>
    <row r="50" spans="1:7" x14ac:dyDescent="0.25">
      <c r="A50" s="7">
        <v>45319</v>
      </c>
      <c r="B50" s="5" t="s">
        <v>34</v>
      </c>
      <c r="C50" s="5" t="s">
        <v>43</v>
      </c>
      <c r="D50" s="5" t="s">
        <v>44</v>
      </c>
      <c r="E50" s="16">
        <v>11050</v>
      </c>
      <c r="F50" s="5" t="s">
        <v>15</v>
      </c>
      <c r="G50" s="8">
        <f t="shared" si="0"/>
        <v>1</v>
      </c>
    </row>
    <row r="51" spans="1:7" x14ac:dyDescent="0.25">
      <c r="A51" s="7">
        <v>45319</v>
      </c>
      <c r="B51" s="5" t="s">
        <v>34</v>
      </c>
      <c r="C51" s="5" t="s">
        <v>43</v>
      </c>
      <c r="D51" s="5" t="s">
        <v>44</v>
      </c>
      <c r="E51" s="16">
        <v>11350</v>
      </c>
      <c r="F51" s="5" t="s">
        <v>15</v>
      </c>
      <c r="G51" s="8">
        <f t="shared" si="0"/>
        <v>1</v>
      </c>
    </row>
    <row r="52" spans="1:7" x14ac:dyDescent="0.25">
      <c r="A52" s="7">
        <v>45319</v>
      </c>
      <c r="B52" s="5" t="s">
        <v>34</v>
      </c>
      <c r="C52" s="5" t="s">
        <v>43</v>
      </c>
      <c r="D52" s="5" t="s">
        <v>44</v>
      </c>
      <c r="E52" s="16">
        <v>11800</v>
      </c>
      <c r="F52" s="5" t="s">
        <v>15</v>
      </c>
      <c r="G52" s="8">
        <f t="shared" si="0"/>
        <v>1</v>
      </c>
    </row>
    <row r="53" spans="1:7" x14ac:dyDescent="0.25">
      <c r="A53" s="7">
        <v>45319</v>
      </c>
      <c r="B53" s="5" t="s">
        <v>34</v>
      </c>
      <c r="C53" s="5" t="s">
        <v>43</v>
      </c>
      <c r="D53" s="5" t="s">
        <v>44</v>
      </c>
      <c r="E53" s="16">
        <v>11500</v>
      </c>
      <c r="F53" s="5" t="s">
        <v>15</v>
      </c>
      <c r="G53" s="8">
        <f t="shared" si="0"/>
        <v>1</v>
      </c>
    </row>
    <row r="54" spans="1:7" x14ac:dyDescent="0.25">
      <c r="A54" s="7">
        <v>45320</v>
      </c>
      <c r="B54" s="5" t="s">
        <v>12</v>
      </c>
      <c r="C54" s="5" t="s">
        <v>16</v>
      </c>
      <c r="D54" s="5" t="s">
        <v>17</v>
      </c>
      <c r="E54" s="16">
        <v>7840</v>
      </c>
      <c r="F54" s="5" t="s">
        <v>15</v>
      </c>
      <c r="G54" s="8">
        <f t="shared" si="0"/>
        <v>1</v>
      </c>
    </row>
    <row r="55" spans="1:7" x14ac:dyDescent="0.25">
      <c r="A55" s="7">
        <v>45320</v>
      </c>
      <c r="B55" s="5" t="s">
        <v>12</v>
      </c>
      <c r="C55" s="5" t="s">
        <v>16</v>
      </c>
      <c r="D55" s="5" t="s">
        <v>17</v>
      </c>
      <c r="E55" s="16">
        <v>8010</v>
      </c>
      <c r="F55" s="5" t="s">
        <v>15</v>
      </c>
      <c r="G55" s="8">
        <f t="shared" si="0"/>
        <v>1</v>
      </c>
    </row>
    <row r="56" spans="1:7" x14ac:dyDescent="0.25">
      <c r="A56" s="7">
        <v>45320</v>
      </c>
      <c r="B56" s="5" t="s">
        <v>12</v>
      </c>
      <c r="C56" s="5" t="s">
        <v>16</v>
      </c>
      <c r="D56" s="5" t="s">
        <v>17</v>
      </c>
      <c r="E56" s="16">
        <v>7980</v>
      </c>
      <c r="F56" s="5" t="s">
        <v>15</v>
      </c>
      <c r="G56" s="8">
        <f t="shared" si="0"/>
        <v>1</v>
      </c>
    </row>
    <row r="57" spans="1:7" x14ac:dyDescent="0.25">
      <c r="A57" s="7">
        <v>45320</v>
      </c>
      <c r="B57" s="5" t="s">
        <v>34</v>
      </c>
      <c r="C57" s="5" t="s">
        <v>43</v>
      </c>
      <c r="D57" s="5" t="s">
        <v>44</v>
      </c>
      <c r="E57" s="16">
        <v>10900</v>
      </c>
      <c r="F57" s="5" t="s">
        <v>15</v>
      </c>
      <c r="G57" s="8">
        <f t="shared" si="0"/>
        <v>1</v>
      </c>
    </row>
    <row r="58" spans="1:7" x14ac:dyDescent="0.25">
      <c r="A58" s="7">
        <v>45320</v>
      </c>
      <c r="B58" s="5" t="s">
        <v>34</v>
      </c>
      <c r="C58" s="5" t="s">
        <v>43</v>
      </c>
      <c r="D58" s="5" t="s">
        <v>44</v>
      </c>
      <c r="E58" s="16">
        <v>11200</v>
      </c>
      <c r="F58" s="5" t="s">
        <v>15</v>
      </c>
      <c r="G58" s="8">
        <f t="shared" si="0"/>
        <v>1</v>
      </c>
    </row>
    <row r="59" spans="1:7" x14ac:dyDescent="0.25">
      <c r="A59" s="7">
        <v>45321</v>
      </c>
      <c r="B59" s="5" t="s">
        <v>12</v>
      </c>
      <c r="C59" s="5" t="s">
        <v>16</v>
      </c>
      <c r="D59" s="5" t="s">
        <v>17</v>
      </c>
      <c r="E59" s="16">
        <v>7580</v>
      </c>
      <c r="F59" s="5" t="s">
        <v>15</v>
      </c>
      <c r="G59" s="8">
        <f t="shared" si="0"/>
        <v>1</v>
      </c>
    </row>
    <row r="60" spans="1:7" x14ac:dyDescent="0.25">
      <c r="A60" s="7">
        <v>45321</v>
      </c>
      <c r="B60" s="5" t="s">
        <v>34</v>
      </c>
      <c r="C60" s="5" t="s">
        <v>43</v>
      </c>
      <c r="D60" s="5" t="s">
        <v>44</v>
      </c>
      <c r="E60" s="16">
        <v>11900</v>
      </c>
      <c r="F60" s="5" t="s">
        <v>15</v>
      </c>
      <c r="G60" s="8">
        <f t="shared" si="0"/>
        <v>1</v>
      </c>
    </row>
    <row r="61" spans="1:7" x14ac:dyDescent="0.25">
      <c r="A61" s="7">
        <v>45321</v>
      </c>
      <c r="B61" s="5" t="s">
        <v>34</v>
      </c>
      <c r="C61" s="5" t="s">
        <v>43</v>
      </c>
      <c r="D61" s="5" t="s">
        <v>44</v>
      </c>
      <c r="E61" s="16">
        <v>12000</v>
      </c>
      <c r="F61" s="5" t="s">
        <v>15</v>
      </c>
      <c r="G61" s="8">
        <f t="shared" si="0"/>
        <v>1</v>
      </c>
    </row>
    <row r="62" spans="1:7" x14ac:dyDescent="0.25">
      <c r="A62" s="6">
        <v>45322</v>
      </c>
      <c r="B62" s="4" t="s">
        <v>22</v>
      </c>
      <c r="C62" s="4" t="s">
        <v>32</v>
      </c>
      <c r="D62" s="4" t="s">
        <v>33</v>
      </c>
      <c r="E62" s="17">
        <v>18844</v>
      </c>
      <c r="F62" s="4" t="s">
        <v>15</v>
      </c>
      <c r="G62" s="8">
        <f t="shared" si="0"/>
        <v>1</v>
      </c>
    </row>
    <row r="63" spans="1:7" x14ac:dyDescent="0.25">
      <c r="A63" s="7">
        <v>45322</v>
      </c>
      <c r="B63" s="5" t="s">
        <v>12</v>
      </c>
      <c r="C63" s="5" t="s">
        <v>16</v>
      </c>
      <c r="D63" s="5" t="s">
        <v>17</v>
      </c>
      <c r="E63" s="16">
        <v>7750</v>
      </c>
      <c r="F63" s="5" t="s">
        <v>15</v>
      </c>
      <c r="G63" s="8">
        <f t="shared" si="0"/>
        <v>1</v>
      </c>
    </row>
    <row r="64" spans="1:7" x14ac:dyDescent="0.25">
      <c r="A64" s="6">
        <v>45324</v>
      </c>
      <c r="B64" s="4" t="s">
        <v>18</v>
      </c>
      <c r="C64" s="4" t="s">
        <v>30</v>
      </c>
      <c r="D64" s="4" t="s">
        <v>31</v>
      </c>
      <c r="E64" s="17">
        <v>35046</v>
      </c>
      <c r="F64" s="4" t="s">
        <v>21</v>
      </c>
      <c r="G64" s="8">
        <f t="shared" si="0"/>
        <v>1</v>
      </c>
    </row>
    <row r="65" spans="1:7" x14ac:dyDescent="0.25">
      <c r="A65" s="7">
        <v>45324</v>
      </c>
      <c r="B65" s="5" t="s">
        <v>12</v>
      </c>
      <c r="C65" s="5" t="s">
        <v>16</v>
      </c>
      <c r="D65" s="5" t="s">
        <v>17</v>
      </c>
      <c r="E65" s="16">
        <v>7120</v>
      </c>
      <c r="F65" s="5" t="s">
        <v>15</v>
      </c>
      <c r="G65" s="8">
        <f t="shared" si="0"/>
        <v>1</v>
      </c>
    </row>
    <row r="66" spans="1:7" x14ac:dyDescent="0.25">
      <c r="A66" s="7">
        <v>45325</v>
      </c>
      <c r="B66" s="5" t="s">
        <v>12</v>
      </c>
      <c r="C66" s="5" t="s">
        <v>16</v>
      </c>
      <c r="D66" s="5" t="s">
        <v>17</v>
      </c>
      <c r="E66" s="16">
        <v>7760</v>
      </c>
      <c r="F66" s="5" t="s">
        <v>15</v>
      </c>
      <c r="G66" s="8">
        <f t="shared" ref="G66:G129" si="1">INT((MONTH(A66)-1)/3)+1</f>
        <v>1</v>
      </c>
    </row>
    <row r="67" spans="1:7" x14ac:dyDescent="0.25">
      <c r="A67" s="6">
        <v>45326</v>
      </c>
      <c r="B67" s="4" t="s">
        <v>12</v>
      </c>
      <c r="C67" s="4" t="s">
        <v>45</v>
      </c>
      <c r="D67" s="4" t="s">
        <v>46</v>
      </c>
      <c r="E67" s="17">
        <v>13630</v>
      </c>
      <c r="F67" s="4" t="s">
        <v>15</v>
      </c>
      <c r="G67" s="8">
        <f t="shared" si="1"/>
        <v>1</v>
      </c>
    </row>
    <row r="68" spans="1:7" x14ac:dyDescent="0.25">
      <c r="A68" s="7">
        <v>45326</v>
      </c>
      <c r="B68" s="5" t="s">
        <v>12</v>
      </c>
      <c r="C68" s="5" t="s">
        <v>16</v>
      </c>
      <c r="D68" s="5" t="s">
        <v>17</v>
      </c>
      <c r="E68" s="16">
        <v>7850</v>
      </c>
      <c r="F68" s="5" t="s">
        <v>15</v>
      </c>
      <c r="G68" s="8">
        <f t="shared" si="1"/>
        <v>1</v>
      </c>
    </row>
    <row r="69" spans="1:7" x14ac:dyDescent="0.25">
      <c r="A69" s="7">
        <v>45326</v>
      </c>
      <c r="B69" s="5" t="s">
        <v>12</v>
      </c>
      <c r="C69" s="5" t="s">
        <v>16</v>
      </c>
      <c r="D69" s="5" t="s">
        <v>17</v>
      </c>
      <c r="E69" s="16">
        <v>7820</v>
      </c>
      <c r="F69" s="5" t="s">
        <v>15</v>
      </c>
      <c r="G69" s="8">
        <f t="shared" si="1"/>
        <v>1</v>
      </c>
    </row>
    <row r="70" spans="1:7" x14ac:dyDescent="0.25">
      <c r="A70" s="7">
        <v>45326</v>
      </c>
      <c r="B70" s="5" t="s">
        <v>12</v>
      </c>
      <c r="C70" s="5" t="s">
        <v>16</v>
      </c>
      <c r="D70" s="5" t="s">
        <v>17</v>
      </c>
      <c r="E70" s="16">
        <v>7610</v>
      </c>
      <c r="F70" s="5" t="s">
        <v>15</v>
      </c>
      <c r="G70" s="8">
        <f t="shared" si="1"/>
        <v>1</v>
      </c>
    </row>
    <row r="71" spans="1:7" x14ac:dyDescent="0.25">
      <c r="A71" s="7">
        <v>45327</v>
      </c>
      <c r="B71" s="5" t="s">
        <v>12</v>
      </c>
      <c r="C71" s="5" t="s">
        <v>16</v>
      </c>
      <c r="D71" s="5" t="s">
        <v>17</v>
      </c>
      <c r="E71" s="16">
        <v>7200</v>
      </c>
      <c r="F71" s="5" t="s">
        <v>15</v>
      </c>
      <c r="G71" s="8">
        <f t="shared" si="1"/>
        <v>1</v>
      </c>
    </row>
    <row r="72" spans="1:7" x14ac:dyDescent="0.25">
      <c r="A72" s="7">
        <v>45327</v>
      </c>
      <c r="B72" s="5" t="s">
        <v>12</v>
      </c>
      <c r="C72" s="5" t="s">
        <v>16</v>
      </c>
      <c r="D72" s="5" t="s">
        <v>17</v>
      </c>
      <c r="E72" s="16">
        <v>7480</v>
      </c>
      <c r="F72" s="5" t="s">
        <v>15</v>
      </c>
      <c r="G72" s="8">
        <f t="shared" si="1"/>
        <v>1</v>
      </c>
    </row>
    <row r="73" spans="1:7" x14ac:dyDescent="0.25">
      <c r="A73" s="7">
        <v>45327</v>
      </c>
      <c r="B73" s="5" t="s">
        <v>12</v>
      </c>
      <c r="C73" s="5" t="s">
        <v>16</v>
      </c>
      <c r="D73" s="5" t="s">
        <v>17</v>
      </c>
      <c r="E73" s="16">
        <v>7680</v>
      </c>
      <c r="F73" s="5" t="s">
        <v>15</v>
      </c>
      <c r="G73" s="8">
        <f t="shared" si="1"/>
        <v>1</v>
      </c>
    </row>
    <row r="74" spans="1:7" x14ac:dyDescent="0.25">
      <c r="A74" s="7">
        <v>45327</v>
      </c>
      <c r="B74" s="5" t="s">
        <v>12</v>
      </c>
      <c r="C74" s="5" t="s">
        <v>16</v>
      </c>
      <c r="D74" s="5" t="s">
        <v>17</v>
      </c>
      <c r="E74" s="16">
        <v>7590</v>
      </c>
      <c r="F74" s="5" t="s">
        <v>15</v>
      </c>
      <c r="G74" s="8">
        <f t="shared" si="1"/>
        <v>1</v>
      </c>
    </row>
    <row r="75" spans="1:7" x14ac:dyDescent="0.25">
      <c r="A75" s="6">
        <v>45328</v>
      </c>
      <c r="B75" s="4" t="s">
        <v>12</v>
      </c>
      <c r="C75" s="4" t="s">
        <v>16</v>
      </c>
      <c r="D75" s="4" t="s">
        <v>17</v>
      </c>
      <c r="E75" s="17">
        <v>49354</v>
      </c>
      <c r="F75" s="4" t="s">
        <v>15</v>
      </c>
      <c r="G75" s="8">
        <f t="shared" si="1"/>
        <v>1</v>
      </c>
    </row>
    <row r="76" spans="1:7" x14ac:dyDescent="0.25">
      <c r="A76" s="7">
        <v>45328</v>
      </c>
      <c r="B76" s="5" t="s">
        <v>34</v>
      </c>
      <c r="C76" s="5" t="s">
        <v>55</v>
      </c>
      <c r="D76" s="5" t="s">
        <v>56</v>
      </c>
      <c r="E76" s="16">
        <v>40250</v>
      </c>
      <c r="F76" s="5" t="s">
        <v>15</v>
      </c>
      <c r="G76" s="8">
        <f t="shared" si="1"/>
        <v>1</v>
      </c>
    </row>
    <row r="77" spans="1:7" x14ac:dyDescent="0.25">
      <c r="A77" s="7">
        <v>45328</v>
      </c>
      <c r="B77" s="5" t="s">
        <v>12</v>
      </c>
      <c r="C77" s="5" t="s">
        <v>16</v>
      </c>
      <c r="D77" s="5" t="s">
        <v>17</v>
      </c>
      <c r="E77" s="16">
        <v>7650</v>
      </c>
      <c r="F77" s="5" t="s">
        <v>15</v>
      </c>
      <c r="G77" s="8">
        <f t="shared" si="1"/>
        <v>1</v>
      </c>
    </row>
    <row r="78" spans="1:7" x14ac:dyDescent="0.25">
      <c r="A78" s="7">
        <v>45328</v>
      </c>
      <c r="B78" s="5" t="s">
        <v>12</v>
      </c>
      <c r="C78" s="5" t="s">
        <v>16</v>
      </c>
      <c r="D78" s="5" t="s">
        <v>17</v>
      </c>
      <c r="E78" s="16">
        <v>7510</v>
      </c>
      <c r="F78" s="5" t="s">
        <v>15</v>
      </c>
      <c r="G78" s="8">
        <f t="shared" si="1"/>
        <v>1</v>
      </c>
    </row>
    <row r="79" spans="1:7" x14ac:dyDescent="0.25">
      <c r="A79" s="7">
        <v>45328</v>
      </c>
      <c r="B79" s="5" t="s">
        <v>12</v>
      </c>
      <c r="C79" s="5" t="s">
        <v>16</v>
      </c>
      <c r="D79" s="5" t="s">
        <v>17</v>
      </c>
      <c r="E79" s="16">
        <v>7750</v>
      </c>
      <c r="F79" s="5" t="s">
        <v>15</v>
      </c>
      <c r="G79" s="8">
        <f t="shared" si="1"/>
        <v>1</v>
      </c>
    </row>
    <row r="80" spans="1:7" x14ac:dyDescent="0.25">
      <c r="A80" s="7">
        <v>45328</v>
      </c>
      <c r="B80" s="5" t="s">
        <v>12</v>
      </c>
      <c r="C80" s="5" t="s">
        <v>16</v>
      </c>
      <c r="D80" s="5" t="s">
        <v>17</v>
      </c>
      <c r="E80" s="16">
        <v>7420</v>
      </c>
      <c r="F80" s="5" t="s">
        <v>15</v>
      </c>
      <c r="G80" s="8">
        <f t="shared" si="1"/>
        <v>1</v>
      </c>
    </row>
    <row r="81" spans="1:7" x14ac:dyDescent="0.25">
      <c r="A81" s="6">
        <v>45329</v>
      </c>
      <c r="B81" s="4" t="s">
        <v>18</v>
      </c>
      <c r="C81" s="4" t="s">
        <v>47</v>
      </c>
      <c r="D81" s="4" t="s">
        <v>48</v>
      </c>
      <c r="E81" s="17">
        <v>35116</v>
      </c>
      <c r="F81" s="4" t="s">
        <v>15</v>
      </c>
      <c r="G81" s="8">
        <f t="shared" si="1"/>
        <v>1</v>
      </c>
    </row>
    <row r="82" spans="1:7" x14ac:dyDescent="0.25">
      <c r="A82" s="7">
        <v>45329</v>
      </c>
      <c r="B82" s="5" t="s">
        <v>12</v>
      </c>
      <c r="C82" s="5" t="s">
        <v>16</v>
      </c>
      <c r="D82" s="5" t="s">
        <v>17</v>
      </c>
      <c r="E82" s="16">
        <v>8120</v>
      </c>
      <c r="F82" s="5" t="s">
        <v>15</v>
      </c>
      <c r="G82" s="8">
        <f t="shared" si="1"/>
        <v>1</v>
      </c>
    </row>
    <row r="83" spans="1:7" x14ac:dyDescent="0.25">
      <c r="A83" s="7">
        <v>45329</v>
      </c>
      <c r="B83" s="5" t="s">
        <v>34</v>
      </c>
      <c r="C83" s="5" t="s">
        <v>55</v>
      </c>
      <c r="D83" s="5" t="s">
        <v>56</v>
      </c>
      <c r="E83" s="16">
        <v>41800</v>
      </c>
      <c r="F83" s="5" t="s">
        <v>15</v>
      </c>
      <c r="G83" s="8">
        <f t="shared" si="1"/>
        <v>1</v>
      </c>
    </row>
    <row r="84" spans="1:7" x14ac:dyDescent="0.25">
      <c r="A84" s="6">
        <v>45331</v>
      </c>
      <c r="B84" s="4" t="s">
        <v>25</v>
      </c>
      <c r="C84" s="4" t="s">
        <v>28</v>
      </c>
      <c r="D84" s="4" t="s">
        <v>29</v>
      </c>
      <c r="E84" s="17">
        <v>49369</v>
      </c>
      <c r="F84" s="4" t="s">
        <v>15</v>
      </c>
      <c r="G84" s="8">
        <f t="shared" si="1"/>
        <v>1</v>
      </c>
    </row>
    <row r="85" spans="1:7" x14ac:dyDescent="0.25">
      <c r="A85" s="7">
        <v>45331</v>
      </c>
      <c r="B85" s="5" t="s">
        <v>12</v>
      </c>
      <c r="C85" s="5" t="s">
        <v>45</v>
      </c>
      <c r="D85" s="5" t="s">
        <v>46</v>
      </c>
      <c r="E85" s="16">
        <v>6820</v>
      </c>
      <c r="F85" s="5" t="s">
        <v>15</v>
      </c>
      <c r="G85" s="8">
        <f t="shared" si="1"/>
        <v>1</v>
      </c>
    </row>
    <row r="86" spans="1:7" x14ac:dyDescent="0.25">
      <c r="A86" s="7">
        <v>45331</v>
      </c>
      <c r="B86" s="5" t="s">
        <v>34</v>
      </c>
      <c r="C86" s="5" t="s">
        <v>55</v>
      </c>
      <c r="D86" s="5" t="s">
        <v>56</v>
      </c>
      <c r="E86" s="16">
        <v>41120</v>
      </c>
      <c r="F86" s="5" t="s">
        <v>15</v>
      </c>
      <c r="G86" s="8">
        <f t="shared" si="1"/>
        <v>1</v>
      </c>
    </row>
    <row r="87" spans="1:7" x14ac:dyDescent="0.25">
      <c r="A87" s="7">
        <v>45332</v>
      </c>
      <c r="B87" s="5" t="s">
        <v>12</v>
      </c>
      <c r="C87" s="5" t="s">
        <v>45</v>
      </c>
      <c r="D87" s="5" t="s">
        <v>46</v>
      </c>
      <c r="E87" s="16">
        <v>7450</v>
      </c>
      <c r="F87" s="5" t="s">
        <v>15</v>
      </c>
      <c r="G87" s="8">
        <f t="shared" si="1"/>
        <v>1</v>
      </c>
    </row>
    <row r="88" spans="1:7" x14ac:dyDescent="0.25">
      <c r="A88" s="7">
        <v>45333</v>
      </c>
      <c r="B88" s="5" t="s">
        <v>12</v>
      </c>
      <c r="C88" s="5" t="s">
        <v>45</v>
      </c>
      <c r="D88" s="5" t="s">
        <v>46</v>
      </c>
      <c r="E88" s="16">
        <v>6720</v>
      </c>
      <c r="F88" s="5" t="s">
        <v>15</v>
      </c>
      <c r="G88" s="8">
        <f t="shared" si="1"/>
        <v>1</v>
      </c>
    </row>
    <row r="89" spans="1:7" x14ac:dyDescent="0.25">
      <c r="A89" s="7">
        <v>45333</v>
      </c>
      <c r="B89" s="5" t="s">
        <v>12</v>
      </c>
      <c r="C89" s="5" t="s">
        <v>45</v>
      </c>
      <c r="D89" s="5" t="s">
        <v>46</v>
      </c>
      <c r="E89" s="16">
        <v>7690</v>
      </c>
      <c r="F89" s="5" t="s">
        <v>15</v>
      </c>
      <c r="G89" s="8">
        <f t="shared" si="1"/>
        <v>1</v>
      </c>
    </row>
    <row r="90" spans="1:7" x14ac:dyDescent="0.25">
      <c r="A90" s="7">
        <v>45334</v>
      </c>
      <c r="B90" s="5" t="s">
        <v>12</v>
      </c>
      <c r="C90" s="5" t="s">
        <v>45</v>
      </c>
      <c r="D90" s="5" t="s">
        <v>46</v>
      </c>
      <c r="E90" s="16">
        <v>7130</v>
      </c>
      <c r="F90" s="5" t="s">
        <v>15</v>
      </c>
      <c r="G90" s="8">
        <f t="shared" si="1"/>
        <v>1</v>
      </c>
    </row>
    <row r="91" spans="1:7" x14ac:dyDescent="0.25">
      <c r="A91" s="7">
        <v>45335</v>
      </c>
      <c r="B91" s="5" t="s">
        <v>12</v>
      </c>
      <c r="C91" s="5" t="s">
        <v>45</v>
      </c>
      <c r="D91" s="5" t="s">
        <v>46</v>
      </c>
      <c r="E91" s="16">
        <v>7660</v>
      </c>
      <c r="F91" s="5" t="s">
        <v>15</v>
      </c>
      <c r="G91" s="8">
        <f t="shared" si="1"/>
        <v>1</v>
      </c>
    </row>
    <row r="92" spans="1:7" x14ac:dyDescent="0.25">
      <c r="A92" s="7">
        <v>45336</v>
      </c>
      <c r="B92" s="5" t="s">
        <v>12</v>
      </c>
      <c r="C92" s="5" t="s">
        <v>16</v>
      </c>
      <c r="D92" s="5" t="s">
        <v>17</v>
      </c>
      <c r="E92" s="16">
        <v>8654</v>
      </c>
      <c r="F92" s="5" t="s">
        <v>15</v>
      </c>
      <c r="G92" s="8">
        <f t="shared" si="1"/>
        <v>1</v>
      </c>
    </row>
    <row r="93" spans="1:7" x14ac:dyDescent="0.25">
      <c r="A93" s="7">
        <v>45336</v>
      </c>
      <c r="B93" s="5" t="s">
        <v>12</v>
      </c>
      <c r="C93" s="5" t="s">
        <v>45</v>
      </c>
      <c r="D93" s="5" t="s">
        <v>46</v>
      </c>
      <c r="E93" s="16">
        <v>7510</v>
      </c>
      <c r="F93" s="5" t="s">
        <v>15</v>
      </c>
      <c r="G93" s="8">
        <f t="shared" si="1"/>
        <v>1</v>
      </c>
    </row>
    <row r="94" spans="1:7" x14ac:dyDescent="0.25">
      <c r="A94" s="7">
        <v>45336</v>
      </c>
      <c r="B94" s="5" t="s">
        <v>12</v>
      </c>
      <c r="C94" s="5" t="s">
        <v>45</v>
      </c>
      <c r="D94" s="5" t="s">
        <v>46</v>
      </c>
      <c r="E94" s="16">
        <v>7990</v>
      </c>
      <c r="F94" s="5" t="s">
        <v>15</v>
      </c>
      <c r="G94" s="8">
        <f t="shared" si="1"/>
        <v>1</v>
      </c>
    </row>
    <row r="95" spans="1:7" x14ac:dyDescent="0.25">
      <c r="A95" s="7">
        <v>45337</v>
      </c>
      <c r="B95" s="5" t="s">
        <v>12</v>
      </c>
      <c r="C95" s="5" t="s">
        <v>45</v>
      </c>
      <c r="D95" s="5" t="s">
        <v>46</v>
      </c>
      <c r="E95" s="16">
        <v>7330</v>
      </c>
      <c r="F95" s="5" t="s">
        <v>15</v>
      </c>
      <c r="G95" s="8">
        <f t="shared" si="1"/>
        <v>1</v>
      </c>
    </row>
    <row r="96" spans="1:7" x14ac:dyDescent="0.25">
      <c r="A96" s="7">
        <v>45337</v>
      </c>
      <c r="B96" s="5" t="s">
        <v>12</v>
      </c>
      <c r="C96" s="5" t="s">
        <v>45</v>
      </c>
      <c r="D96" s="5" t="s">
        <v>46</v>
      </c>
      <c r="E96" s="16">
        <v>8120</v>
      </c>
      <c r="F96" s="5" t="s">
        <v>15</v>
      </c>
      <c r="G96" s="8">
        <f t="shared" si="1"/>
        <v>1</v>
      </c>
    </row>
    <row r="97" spans="1:7" x14ac:dyDescent="0.25">
      <c r="A97" s="7">
        <v>45337</v>
      </c>
      <c r="B97" s="5" t="s">
        <v>12</v>
      </c>
      <c r="C97" s="5" t="s">
        <v>45</v>
      </c>
      <c r="D97" s="5" t="s">
        <v>46</v>
      </c>
      <c r="E97" s="16">
        <v>7890</v>
      </c>
      <c r="F97" s="5" t="s">
        <v>15</v>
      </c>
      <c r="G97" s="8">
        <f t="shared" si="1"/>
        <v>1</v>
      </c>
    </row>
    <row r="98" spans="1:7" x14ac:dyDescent="0.25">
      <c r="A98" s="6">
        <v>45338</v>
      </c>
      <c r="B98" s="4" t="s">
        <v>25</v>
      </c>
      <c r="C98" s="4" t="s">
        <v>28</v>
      </c>
      <c r="D98" s="4" t="s">
        <v>29</v>
      </c>
      <c r="E98" s="17">
        <v>29101</v>
      </c>
      <c r="F98" s="4" t="s">
        <v>15</v>
      </c>
      <c r="G98" s="8">
        <f t="shared" si="1"/>
        <v>1</v>
      </c>
    </row>
    <row r="99" spans="1:7" x14ac:dyDescent="0.25">
      <c r="A99" s="7">
        <v>45338</v>
      </c>
      <c r="B99" s="5" t="s">
        <v>12</v>
      </c>
      <c r="C99" s="5" t="s">
        <v>45</v>
      </c>
      <c r="D99" s="5" t="s">
        <v>46</v>
      </c>
      <c r="E99" s="16">
        <v>7860</v>
      </c>
      <c r="F99" s="5" t="s">
        <v>15</v>
      </c>
      <c r="G99" s="8">
        <f t="shared" si="1"/>
        <v>1</v>
      </c>
    </row>
    <row r="100" spans="1:7" x14ac:dyDescent="0.25">
      <c r="A100" s="7">
        <v>45338</v>
      </c>
      <c r="B100" s="5" t="s">
        <v>12</v>
      </c>
      <c r="C100" s="5" t="s">
        <v>45</v>
      </c>
      <c r="D100" s="5" t="s">
        <v>46</v>
      </c>
      <c r="E100" s="16">
        <v>7900</v>
      </c>
      <c r="F100" s="5" t="s">
        <v>15</v>
      </c>
      <c r="G100" s="8">
        <f t="shared" si="1"/>
        <v>1</v>
      </c>
    </row>
    <row r="101" spans="1:7" x14ac:dyDescent="0.25">
      <c r="A101" s="7">
        <v>45338</v>
      </c>
      <c r="B101" s="5" t="s">
        <v>12</v>
      </c>
      <c r="C101" s="5" t="s">
        <v>45</v>
      </c>
      <c r="D101" s="5" t="s">
        <v>46</v>
      </c>
      <c r="E101" s="16">
        <v>7720</v>
      </c>
      <c r="F101" s="5" t="s">
        <v>15</v>
      </c>
      <c r="G101" s="8">
        <f t="shared" si="1"/>
        <v>1</v>
      </c>
    </row>
    <row r="102" spans="1:7" x14ac:dyDescent="0.25">
      <c r="A102" s="7">
        <v>45339</v>
      </c>
      <c r="B102" s="5" t="s">
        <v>34</v>
      </c>
      <c r="C102" s="5" t="s">
        <v>55</v>
      </c>
      <c r="D102" s="5" t="s">
        <v>56</v>
      </c>
      <c r="E102" s="16">
        <v>40800</v>
      </c>
      <c r="F102" s="5" t="s">
        <v>15</v>
      </c>
      <c r="G102" s="8">
        <f t="shared" si="1"/>
        <v>1</v>
      </c>
    </row>
    <row r="103" spans="1:7" x14ac:dyDescent="0.25">
      <c r="A103" s="7">
        <v>45339</v>
      </c>
      <c r="B103" s="5" t="s">
        <v>12</v>
      </c>
      <c r="C103" s="5" t="s">
        <v>45</v>
      </c>
      <c r="D103" s="5" t="s">
        <v>46</v>
      </c>
      <c r="E103" s="16">
        <v>7450</v>
      </c>
      <c r="F103" s="5" t="s">
        <v>15</v>
      </c>
      <c r="G103" s="8">
        <f t="shared" si="1"/>
        <v>1</v>
      </c>
    </row>
    <row r="104" spans="1:7" x14ac:dyDescent="0.25">
      <c r="A104" s="7">
        <v>45339</v>
      </c>
      <c r="B104" s="5" t="s">
        <v>12</v>
      </c>
      <c r="C104" s="5" t="s">
        <v>45</v>
      </c>
      <c r="D104" s="5" t="s">
        <v>46</v>
      </c>
      <c r="E104" s="16">
        <v>7750</v>
      </c>
      <c r="F104" s="5" t="s">
        <v>15</v>
      </c>
      <c r="G104" s="8">
        <f t="shared" si="1"/>
        <v>1</v>
      </c>
    </row>
    <row r="105" spans="1:7" x14ac:dyDescent="0.25">
      <c r="A105" s="7">
        <v>45339</v>
      </c>
      <c r="B105" s="5" t="s">
        <v>12</v>
      </c>
      <c r="C105" s="5" t="s">
        <v>45</v>
      </c>
      <c r="D105" s="5" t="s">
        <v>46</v>
      </c>
      <c r="E105" s="16">
        <v>7670</v>
      </c>
      <c r="F105" s="5" t="s">
        <v>15</v>
      </c>
      <c r="G105" s="8">
        <f t="shared" si="1"/>
        <v>1</v>
      </c>
    </row>
    <row r="106" spans="1:7" x14ac:dyDescent="0.25">
      <c r="A106" s="7">
        <v>45339</v>
      </c>
      <c r="B106" s="5" t="s">
        <v>12</v>
      </c>
      <c r="C106" s="5" t="s">
        <v>45</v>
      </c>
      <c r="D106" s="5" t="s">
        <v>46</v>
      </c>
      <c r="E106" s="16">
        <v>7700</v>
      </c>
      <c r="F106" s="5" t="s">
        <v>15</v>
      </c>
      <c r="G106" s="8">
        <f t="shared" si="1"/>
        <v>1</v>
      </c>
    </row>
    <row r="107" spans="1:7" x14ac:dyDescent="0.25">
      <c r="A107" s="6">
        <v>45340</v>
      </c>
      <c r="B107" s="4" t="s">
        <v>25</v>
      </c>
      <c r="C107" s="4" t="s">
        <v>26</v>
      </c>
      <c r="D107" s="4" t="s">
        <v>27</v>
      </c>
      <c r="E107" s="17">
        <v>23733</v>
      </c>
      <c r="F107" s="4" t="s">
        <v>15</v>
      </c>
      <c r="G107" s="8">
        <f t="shared" si="1"/>
        <v>1</v>
      </c>
    </row>
    <row r="108" spans="1:7" x14ac:dyDescent="0.25">
      <c r="A108" s="7">
        <v>45340</v>
      </c>
      <c r="B108" s="5" t="s">
        <v>12</v>
      </c>
      <c r="C108" s="5" t="s">
        <v>45</v>
      </c>
      <c r="D108" s="5" t="s">
        <v>46</v>
      </c>
      <c r="E108" s="16">
        <v>8230</v>
      </c>
      <c r="F108" s="5" t="s">
        <v>15</v>
      </c>
      <c r="G108" s="8">
        <f t="shared" si="1"/>
        <v>1</v>
      </c>
    </row>
    <row r="109" spans="1:7" x14ac:dyDescent="0.25">
      <c r="A109" s="7">
        <v>45340</v>
      </c>
      <c r="B109" s="5" t="s">
        <v>12</v>
      </c>
      <c r="C109" s="5" t="s">
        <v>45</v>
      </c>
      <c r="D109" s="5" t="s">
        <v>46</v>
      </c>
      <c r="E109" s="16">
        <v>8010</v>
      </c>
      <c r="F109" s="5" t="s">
        <v>15</v>
      </c>
      <c r="G109" s="8">
        <f t="shared" si="1"/>
        <v>1</v>
      </c>
    </row>
    <row r="110" spans="1:7" x14ac:dyDescent="0.25">
      <c r="A110" s="7">
        <v>45340</v>
      </c>
      <c r="B110" s="5" t="s">
        <v>12</v>
      </c>
      <c r="C110" s="5" t="s">
        <v>45</v>
      </c>
      <c r="D110" s="5" t="s">
        <v>46</v>
      </c>
      <c r="E110" s="16">
        <v>7850</v>
      </c>
      <c r="F110" s="5" t="s">
        <v>15</v>
      </c>
      <c r="G110" s="8">
        <f t="shared" si="1"/>
        <v>1</v>
      </c>
    </row>
    <row r="111" spans="1:7" x14ac:dyDescent="0.25">
      <c r="A111" s="7">
        <v>45341</v>
      </c>
      <c r="B111" s="5" t="s">
        <v>12</v>
      </c>
      <c r="C111" s="5" t="s">
        <v>45</v>
      </c>
      <c r="D111" s="5" t="s">
        <v>46</v>
      </c>
      <c r="E111" s="16">
        <v>7840</v>
      </c>
      <c r="F111" s="5" t="s">
        <v>15</v>
      </c>
      <c r="G111" s="8">
        <f t="shared" si="1"/>
        <v>1</v>
      </c>
    </row>
    <row r="112" spans="1:7" x14ac:dyDescent="0.25">
      <c r="A112" s="6">
        <v>45343</v>
      </c>
      <c r="B112" s="4" t="s">
        <v>12</v>
      </c>
      <c r="C112" s="4" t="s">
        <v>45</v>
      </c>
      <c r="D112" s="4" t="s">
        <v>46</v>
      </c>
      <c r="E112" s="17">
        <v>41484</v>
      </c>
      <c r="F112" s="4" t="s">
        <v>15</v>
      </c>
      <c r="G112" s="8">
        <f t="shared" si="1"/>
        <v>1</v>
      </c>
    </row>
    <row r="113" spans="1:7" x14ac:dyDescent="0.25">
      <c r="A113" s="6">
        <v>45344</v>
      </c>
      <c r="B113" s="4" t="s">
        <v>18</v>
      </c>
      <c r="C113" s="4" t="s">
        <v>47</v>
      </c>
      <c r="D113" s="4" t="s">
        <v>48</v>
      </c>
      <c r="E113" s="17">
        <v>6663</v>
      </c>
      <c r="F113" s="4" t="s">
        <v>15</v>
      </c>
      <c r="G113" s="8">
        <f t="shared" si="1"/>
        <v>1</v>
      </c>
    </row>
    <row r="114" spans="1:7" x14ac:dyDescent="0.25">
      <c r="A114" s="7">
        <v>45352</v>
      </c>
      <c r="B114" s="5" t="s">
        <v>22</v>
      </c>
      <c r="C114" s="5" t="s">
        <v>39</v>
      </c>
      <c r="D114" s="5" t="s">
        <v>40</v>
      </c>
      <c r="E114" s="16">
        <v>15340</v>
      </c>
      <c r="F114" s="5" t="s">
        <v>15</v>
      </c>
      <c r="G114" s="8">
        <f t="shared" si="1"/>
        <v>1</v>
      </c>
    </row>
    <row r="115" spans="1:7" x14ac:dyDescent="0.25">
      <c r="A115" s="6">
        <v>45353</v>
      </c>
      <c r="B115" s="4" t="s">
        <v>34</v>
      </c>
      <c r="C115" s="4" t="s">
        <v>35</v>
      </c>
      <c r="D115" s="4" t="s">
        <v>36</v>
      </c>
      <c r="E115" s="17">
        <v>34159</v>
      </c>
      <c r="F115" s="4" t="s">
        <v>15</v>
      </c>
      <c r="G115" s="8">
        <f t="shared" si="1"/>
        <v>1</v>
      </c>
    </row>
    <row r="116" spans="1:7" x14ac:dyDescent="0.25">
      <c r="A116" s="6">
        <v>45354</v>
      </c>
      <c r="B116" s="4" t="s">
        <v>34</v>
      </c>
      <c r="C116" s="4" t="s">
        <v>43</v>
      </c>
      <c r="D116" s="4" t="s">
        <v>44</v>
      </c>
      <c r="E116" s="17">
        <v>26562</v>
      </c>
      <c r="F116" s="4" t="s">
        <v>15</v>
      </c>
      <c r="G116" s="8">
        <f t="shared" si="1"/>
        <v>1</v>
      </c>
    </row>
    <row r="117" spans="1:7" x14ac:dyDescent="0.25">
      <c r="A117" s="6">
        <v>45355</v>
      </c>
      <c r="B117" s="4" t="s">
        <v>34</v>
      </c>
      <c r="C117" s="4" t="s">
        <v>43</v>
      </c>
      <c r="D117" s="4" t="s">
        <v>44</v>
      </c>
      <c r="E117" s="17">
        <v>17360</v>
      </c>
      <c r="F117" s="4" t="s">
        <v>15</v>
      </c>
      <c r="G117" s="8">
        <f t="shared" si="1"/>
        <v>1</v>
      </c>
    </row>
    <row r="118" spans="1:7" x14ac:dyDescent="0.25">
      <c r="A118" s="6">
        <v>45357</v>
      </c>
      <c r="B118" s="4" t="s">
        <v>22</v>
      </c>
      <c r="C118" s="4" t="s">
        <v>23</v>
      </c>
      <c r="D118" s="4" t="s">
        <v>24</v>
      </c>
      <c r="E118" s="17">
        <v>29673</v>
      </c>
      <c r="F118" s="4" t="s">
        <v>15</v>
      </c>
      <c r="G118" s="8">
        <f t="shared" si="1"/>
        <v>1</v>
      </c>
    </row>
    <row r="119" spans="1:7" x14ac:dyDescent="0.25">
      <c r="A119" s="6">
        <v>45357</v>
      </c>
      <c r="B119" s="4" t="s">
        <v>34</v>
      </c>
      <c r="C119" s="4" t="s">
        <v>37</v>
      </c>
      <c r="D119" s="4" t="s">
        <v>38</v>
      </c>
      <c r="E119" s="17">
        <v>35846</v>
      </c>
      <c r="F119" s="4" t="s">
        <v>15</v>
      </c>
      <c r="G119" s="8">
        <f t="shared" si="1"/>
        <v>1</v>
      </c>
    </row>
    <row r="120" spans="1:7" x14ac:dyDescent="0.25">
      <c r="A120" s="6">
        <v>45362</v>
      </c>
      <c r="B120" s="4" t="s">
        <v>18</v>
      </c>
      <c r="C120" s="4" t="s">
        <v>30</v>
      </c>
      <c r="D120" s="4" t="s">
        <v>31</v>
      </c>
      <c r="E120" s="17">
        <v>47879</v>
      </c>
      <c r="F120" s="4" t="s">
        <v>21</v>
      </c>
      <c r="G120" s="8">
        <f t="shared" si="1"/>
        <v>1</v>
      </c>
    </row>
    <row r="121" spans="1:7" x14ac:dyDescent="0.25">
      <c r="A121" s="7">
        <v>45362</v>
      </c>
      <c r="B121" s="5" t="s">
        <v>25</v>
      </c>
      <c r="C121" s="5" t="s">
        <v>41</v>
      </c>
      <c r="D121" s="5" t="s">
        <v>42</v>
      </c>
      <c r="E121" s="16">
        <v>86790</v>
      </c>
      <c r="F121" s="5" t="s">
        <v>21</v>
      </c>
      <c r="G121" s="8">
        <f t="shared" si="1"/>
        <v>1</v>
      </c>
    </row>
    <row r="122" spans="1:7" x14ac:dyDescent="0.25">
      <c r="A122" s="7">
        <v>45362</v>
      </c>
      <c r="B122" s="5" t="s">
        <v>12</v>
      </c>
      <c r="C122" s="5" t="s">
        <v>16</v>
      </c>
      <c r="D122" s="5" t="s">
        <v>17</v>
      </c>
      <c r="E122" s="16">
        <v>7450</v>
      </c>
      <c r="F122" s="5" t="s">
        <v>15</v>
      </c>
      <c r="G122" s="8">
        <f t="shared" si="1"/>
        <v>1</v>
      </c>
    </row>
    <row r="123" spans="1:7" x14ac:dyDescent="0.25">
      <c r="A123" s="6">
        <v>45364</v>
      </c>
      <c r="B123" s="4" t="s">
        <v>34</v>
      </c>
      <c r="C123" s="4" t="s">
        <v>37</v>
      </c>
      <c r="D123" s="4" t="s">
        <v>38</v>
      </c>
      <c r="E123" s="17">
        <v>7543</v>
      </c>
      <c r="F123" s="4" t="s">
        <v>15</v>
      </c>
      <c r="G123" s="8">
        <f t="shared" si="1"/>
        <v>1</v>
      </c>
    </row>
    <row r="124" spans="1:7" x14ac:dyDescent="0.25">
      <c r="A124" s="7">
        <v>45364</v>
      </c>
      <c r="B124" s="5" t="s">
        <v>12</v>
      </c>
      <c r="C124" s="5" t="s">
        <v>16</v>
      </c>
      <c r="D124" s="5" t="s">
        <v>17</v>
      </c>
      <c r="E124" s="16">
        <v>7150</v>
      </c>
      <c r="F124" s="5" t="s">
        <v>15</v>
      </c>
      <c r="G124" s="8">
        <f t="shared" si="1"/>
        <v>1</v>
      </c>
    </row>
    <row r="125" spans="1:7" x14ac:dyDescent="0.25">
      <c r="A125" s="7">
        <v>45364</v>
      </c>
      <c r="B125" s="5" t="s">
        <v>25</v>
      </c>
      <c r="C125" s="5" t="s">
        <v>41</v>
      </c>
      <c r="D125" s="5" t="s">
        <v>42</v>
      </c>
      <c r="E125" s="16">
        <v>87500</v>
      </c>
      <c r="F125" s="5" t="s">
        <v>21</v>
      </c>
      <c r="G125" s="8">
        <f t="shared" si="1"/>
        <v>1</v>
      </c>
    </row>
    <row r="126" spans="1:7" x14ac:dyDescent="0.25">
      <c r="A126" s="7">
        <v>45364</v>
      </c>
      <c r="B126" s="5" t="s">
        <v>25</v>
      </c>
      <c r="C126" s="5" t="s">
        <v>41</v>
      </c>
      <c r="D126" s="5" t="s">
        <v>42</v>
      </c>
      <c r="E126" s="16">
        <v>90600</v>
      </c>
      <c r="F126" s="5" t="s">
        <v>21</v>
      </c>
      <c r="G126" s="8">
        <f t="shared" si="1"/>
        <v>1</v>
      </c>
    </row>
    <row r="127" spans="1:7" x14ac:dyDescent="0.25">
      <c r="A127" s="7">
        <v>45365</v>
      </c>
      <c r="B127" s="5" t="s">
        <v>25</v>
      </c>
      <c r="C127" s="5" t="s">
        <v>41</v>
      </c>
      <c r="D127" s="5" t="s">
        <v>42</v>
      </c>
      <c r="E127" s="16">
        <v>89800</v>
      </c>
      <c r="F127" s="5" t="s">
        <v>21</v>
      </c>
      <c r="G127" s="8">
        <f t="shared" si="1"/>
        <v>1</v>
      </c>
    </row>
    <row r="128" spans="1:7" x14ac:dyDescent="0.25">
      <c r="A128" s="7">
        <v>45366</v>
      </c>
      <c r="B128" s="5" t="s">
        <v>25</v>
      </c>
      <c r="C128" s="5" t="s">
        <v>41</v>
      </c>
      <c r="D128" s="5" t="s">
        <v>42</v>
      </c>
      <c r="E128" s="16">
        <v>94100</v>
      </c>
      <c r="F128" s="5" t="s">
        <v>21</v>
      </c>
      <c r="G128" s="8">
        <f t="shared" si="1"/>
        <v>1</v>
      </c>
    </row>
    <row r="129" spans="1:7" x14ac:dyDescent="0.25">
      <c r="A129" s="6">
        <v>45367</v>
      </c>
      <c r="B129" s="4" t="s">
        <v>12</v>
      </c>
      <c r="C129" s="4" t="s">
        <v>45</v>
      </c>
      <c r="D129" s="4" t="s">
        <v>46</v>
      </c>
      <c r="E129" s="17">
        <v>35529</v>
      </c>
      <c r="F129" s="4" t="s">
        <v>15</v>
      </c>
      <c r="G129" s="8">
        <f t="shared" si="1"/>
        <v>1</v>
      </c>
    </row>
    <row r="130" spans="1:7" x14ac:dyDescent="0.25">
      <c r="A130" s="7">
        <v>45367</v>
      </c>
      <c r="B130" s="5" t="s">
        <v>25</v>
      </c>
      <c r="C130" s="5" t="s">
        <v>41</v>
      </c>
      <c r="D130" s="5" t="s">
        <v>42</v>
      </c>
      <c r="E130" s="16">
        <v>92500</v>
      </c>
      <c r="F130" s="5" t="s">
        <v>21</v>
      </c>
      <c r="G130" s="8">
        <f t="shared" ref="G130:G193" si="2">INT((MONTH(A130)-1)/3)+1</f>
        <v>1</v>
      </c>
    </row>
    <row r="131" spans="1:7" x14ac:dyDescent="0.25">
      <c r="A131" s="7">
        <v>45368</v>
      </c>
      <c r="B131" s="5" t="s">
        <v>25</v>
      </c>
      <c r="C131" s="5" t="s">
        <v>41</v>
      </c>
      <c r="D131" s="5" t="s">
        <v>42</v>
      </c>
      <c r="E131" s="16">
        <v>91600</v>
      </c>
      <c r="F131" s="5" t="s">
        <v>21</v>
      </c>
      <c r="G131" s="8">
        <f t="shared" si="2"/>
        <v>1</v>
      </c>
    </row>
    <row r="132" spans="1:7" x14ac:dyDescent="0.25">
      <c r="A132" s="7">
        <v>45369</v>
      </c>
      <c r="B132" s="5" t="s">
        <v>25</v>
      </c>
      <c r="C132" s="5" t="s">
        <v>41</v>
      </c>
      <c r="D132" s="5" t="s">
        <v>42</v>
      </c>
      <c r="E132" s="16">
        <v>93200</v>
      </c>
      <c r="F132" s="5" t="s">
        <v>21</v>
      </c>
      <c r="G132" s="8">
        <f t="shared" si="2"/>
        <v>1</v>
      </c>
    </row>
    <row r="133" spans="1:7" x14ac:dyDescent="0.25">
      <c r="A133" s="7">
        <v>45369</v>
      </c>
      <c r="B133" s="5" t="s">
        <v>25</v>
      </c>
      <c r="C133" s="5" t="s">
        <v>41</v>
      </c>
      <c r="D133" s="5" t="s">
        <v>42</v>
      </c>
      <c r="E133" s="16">
        <v>92600</v>
      </c>
      <c r="F133" s="5" t="s">
        <v>21</v>
      </c>
      <c r="G133" s="8">
        <f t="shared" si="2"/>
        <v>1</v>
      </c>
    </row>
    <row r="134" spans="1:7" x14ac:dyDescent="0.25">
      <c r="A134" s="7">
        <v>45370</v>
      </c>
      <c r="B134" s="5" t="s">
        <v>22</v>
      </c>
      <c r="C134" s="5" t="s">
        <v>39</v>
      </c>
      <c r="D134" s="5" t="s">
        <v>40</v>
      </c>
      <c r="E134" s="16">
        <v>16500</v>
      </c>
      <c r="F134" s="5" t="s">
        <v>15</v>
      </c>
      <c r="G134" s="8">
        <f t="shared" si="2"/>
        <v>1</v>
      </c>
    </row>
    <row r="135" spans="1:7" x14ac:dyDescent="0.25">
      <c r="A135" s="7">
        <v>45370</v>
      </c>
      <c r="B135" s="5" t="s">
        <v>25</v>
      </c>
      <c r="C135" s="5" t="s">
        <v>41</v>
      </c>
      <c r="D135" s="5" t="s">
        <v>42</v>
      </c>
      <c r="E135" s="16">
        <v>95400</v>
      </c>
      <c r="F135" s="5" t="s">
        <v>21</v>
      </c>
      <c r="G135" s="8">
        <f t="shared" si="2"/>
        <v>1</v>
      </c>
    </row>
    <row r="136" spans="1:7" x14ac:dyDescent="0.25">
      <c r="A136" s="7">
        <v>45370</v>
      </c>
      <c r="B136" s="5" t="s">
        <v>25</v>
      </c>
      <c r="C136" s="5" t="s">
        <v>41</v>
      </c>
      <c r="D136" s="5" t="s">
        <v>42</v>
      </c>
      <c r="E136" s="16">
        <v>92000</v>
      </c>
      <c r="F136" s="5" t="s">
        <v>21</v>
      </c>
      <c r="G136" s="8">
        <f t="shared" si="2"/>
        <v>1</v>
      </c>
    </row>
    <row r="137" spans="1:7" x14ac:dyDescent="0.25">
      <c r="A137" s="7">
        <v>45370</v>
      </c>
      <c r="B137" s="5" t="s">
        <v>25</v>
      </c>
      <c r="C137" s="5" t="s">
        <v>41</v>
      </c>
      <c r="D137" s="5" t="s">
        <v>42</v>
      </c>
      <c r="E137" s="16">
        <v>92600</v>
      </c>
      <c r="F137" s="5" t="s">
        <v>21</v>
      </c>
      <c r="G137" s="8">
        <f t="shared" si="2"/>
        <v>1</v>
      </c>
    </row>
    <row r="138" spans="1:7" x14ac:dyDescent="0.25">
      <c r="A138" s="7">
        <v>45371</v>
      </c>
      <c r="B138" s="5" t="s">
        <v>12</v>
      </c>
      <c r="C138" s="5" t="s">
        <v>16</v>
      </c>
      <c r="D138" s="5" t="s">
        <v>17</v>
      </c>
      <c r="E138" s="16">
        <v>7860</v>
      </c>
      <c r="F138" s="5" t="s">
        <v>15</v>
      </c>
      <c r="G138" s="8">
        <f t="shared" si="2"/>
        <v>1</v>
      </c>
    </row>
    <row r="139" spans="1:7" x14ac:dyDescent="0.25">
      <c r="A139" s="7">
        <v>45371</v>
      </c>
      <c r="B139" s="5" t="s">
        <v>25</v>
      </c>
      <c r="C139" s="5" t="s">
        <v>41</v>
      </c>
      <c r="D139" s="5" t="s">
        <v>42</v>
      </c>
      <c r="E139" s="16">
        <v>94900</v>
      </c>
      <c r="F139" s="5" t="s">
        <v>21</v>
      </c>
      <c r="G139" s="8">
        <f t="shared" si="2"/>
        <v>1</v>
      </c>
    </row>
    <row r="140" spans="1:7" x14ac:dyDescent="0.25">
      <c r="A140" s="7">
        <v>45371</v>
      </c>
      <c r="B140" s="5" t="s">
        <v>25</v>
      </c>
      <c r="C140" s="5" t="s">
        <v>41</v>
      </c>
      <c r="D140" s="5" t="s">
        <v>42</v>
      </c>
      <c r="E140" s="16">
        <v>93800</v>
      </c>
      <c r="F140" s="5" t="s">
        <v>21</v>
      </c>
      <c r="G140" s="8">
        <f t="shared" si="2"/>
        <v>1</v>
      </c>
    </row>
    <row r="141" spans="1:7" x14ac:dyDescent="0.25">
      <c r="A141" s="7">
        <v>45371</v>
      </c>
      <c r="B141" s="5" t="s">
        <v>25</v>
      </c>
      <c r="C141" s="5" t="s">
        <v>41</v>
      </c>
      <c r="D141" s="5" t="s">
        <v>42</v>
      </c>
      <c r="E141" s="16">
        <v>93200</v>
      </c>
      <c r="F141" s="5" t="s">
        <v>21</v>
      </c>
      <c r="G141" s="8">
        <f t="shared" si="2"/>
        <v>1</v>
      </c>
    </row>
    <row r="142" spans="1:7" x14ac:dyDescent="0.25">
      <c r="A142" s="7">
        <v>45371</v>
      </c>
      <c r="B142" s="5" t="s">
        <v>25</v>
      </c>
      <c r="C142" s="5" t="s">
        <v>41</v>
      </c>
      <c r="D142" s="5" t="s">
        <v>42</v>
      </c>
      <c r="E142" s="16">
        <v>93600</v>
      </c>
      <c r="F142" s="5" t="s">
        <v>21</v>
      </c>
      <c r="G142" s="8">
        <f t="shared" si="2"/>
        <v>1</v>
      </c>
    </row>
    <row r="143" spans="1:7" x14ac:dyDescent="0.25">
      <c r="A143" s="7">
        <v>45372</v>
      </c>
      <c r="B143" s="5" t="s">
        <v>25</v>
      </c>
      <c r="C143" s="5" t="s">
        <v>57</v>
      </c>
      <c r="D143" s="5" t="s">
        <v>58</v>
      </c>
      <c r="E143" s="16">
        <v>12990</v>
      </c>
      <c r="F143" s="5" t="s">
        <v>15</v>
      </c>
      <c r="G143" s="8">
        <f t="shared" si="2"/>
        <v>1</v>
      </c>
    </row>
    <row r="144" spans="1:7" x14ac:dyDescent="0.25">
      <c r="A144" s="7">
        <v>45372</v>
      </c>
      <c r="B144" s="5" t="s">
        <v>25</v>
      </c>
      <c r="C144" s="5" t="s">
        <v>41</v>
      </c>
      <c r="D144" s="5" t="s">
        <v>42</v>
      </c>
      <c r="E144" s="16">
        <v>93500</v>
      </c>
      <c r="F144" s="5" t="s">
        <v>21</v>
      </c>
      <c r="G144" s="8">
        <f t="shared" si="2"/>
        <v>1</v>
      </c>
    </row>
    <row r="145" spans="1:7" x14ac:dyDescent="0.25">
      <c r="A145" s="7">
        <v>45372</v>
      </c>
      <c r="B145" s="5" t="s">
        <v>25</v>
      </c>
      <c r="C145" s="5" t="s">
        <v>41</v>
      </c>
      <c r="D145" s="5" t="s">
        <v>42</v>
      </c>
      <c r="E145" s="16">
        <v>92800</v>
      </c>
      <c r="F145" s="5" t="s">
        <v>21</v>
      </c>
      <c r="G145" s="8">
        <f t="shared" si="2"/>
        <v>1</v>
      </c>
    </row>
    <row r="146" spans="1:7" x14ac:dyDescent="0.25">
      <c r="A146" s="7">
        <v>45372</v>
      </c>
      <c r="B146" s="5" t="s">
        <v>25</v>
      </c>
      <c r="C146" s="5" t="s">
        <v>41</v>
      </c>
      <c r="D146" s="5" t="s">
        <v>42</v>
      </c>
      <c r="E146" s="16">
        <v>91800</v>
      </c>
      <c r="F146" s="5" t="s">
        <v>21</v>
      </c>
      <c r="G146" s="8">
        <f t="shared" si="2"/>
        <v>1</v>
      </c>
    </row>
    <row r="147" spans="1:7" x14ac:dyDescent="0.25">
      <c r="A147" s="7">
        <v>45372</v>
      </c>
      <c r="B147" s="5" t="s">
        <v>25</v>
      </c>
      <c r="C147" s="5" t="s">
        <v>41</v>
      </c>
      <c r="D147" s="5" t="s">
        <v>42</v>
      </c>
      <c r="E147" s="16">
        <v>92900</v>
      </c>
      <c r="F147" s="5" t="s">
        <v>21</v>
      </c>
      <c r="G147" s="8">
        <f t="shared" si="2"/>
        <v>1</v>
      </c>
    </row>
    <row r="148" spans="1:7" x14ac:dyDescent="0.25">
      <c r="A148" s="7">
        <v>45372</v>
      </c>
      <c r="B148" s="5" t="s">
        <v>25</v>
      </c>
      <c r="C148" s="5" t="s">
        <v>41</v>
      </c>
      <c r="D148" s="5" t="s">
        <v>42</v>
      </c>
      <c r="E148" s="16">
        <v>92700</v>
      </c>
      <c r="F148" s="5" t="s">
        <v>21</v>
      </c>
      <c r="G148" s="8">
        <f t="shared" si="2"/>
        <v>1</v>
      </c>
    </row>
    <row r="149" spans="1:7" x14ac:dyDescent="0.25">
      <c r="A149" s="7">
        <v>45373</v>
      </c>
      <c r="B149" s="5" t="s">
        <v>12</v>
      </c>
      <c r="C149" s="5" t="s">
        <v>16</v>
      </c>
      <c r="D149" s="5" t="s">
        <v>17</v>
      </c>
      <c r="E149" s="16">
        <v>7680</v>
      </c>
      <c r="F149" s="5" t="s">
        <v>15</v>
      </c>
      <c r="G149" s="8">
        <f t="shared" si="2"/>
        <v>1</v>
      </c>
    </row>
    <row r="150" spans="1:7" x14ac:dyDescent="0.25">
      <c r="A150" s="7">
        <v>45373</v>
      </c>
      <c r="B150" s="5" t="s">
        <v>25</v>
      </c>
      <c r="C150" s="5" t="s">
        <v>41</v>
      </c>
      <c r="D150" s="5" t="s">
        <v>42</v>
      </c>
      <c r="E150" s="16">
        <v>91000</v>
      </c>
      <c r="F150" s="5" t="s">
        <v>21</v>
      </c>
      <c r="G150" s="8">
        <f t="shared" si="2"/>
        <v>1</v>
      </c>
    </row>
    <row r="151" spans="1:7" x14ac:dyDescent="0.25">
      <c r="A151" s="7">
        <v>45374</v>
      </c>
      <c r="B151" s="5" t="s">
        <v>25</v>
      </c>
      <c r="C151" s="5" t="s">
        <v>57</v>
      </c>
      <c r="D151" s="5" t="s">
        <v>58</v>
      </c>
      <c r="E151" s="16">
        <v>12240</v>
      </c>
      <c r="F151" s="5" t="s">
        <v>15</v>
      </c>
      <c r="G151" s="8">
        <f t="shared" si="2"/>
        <v>1</v>
      </c>
    </row>
    <row r="152" spans="1:7" x14ac:dyDescent="0.25">
      <c r="A152" s="6">
        <v>45379</v>
      </c>
      <c r="B152" s="4" t="s">
        <v>22</v>
      </c>
      <c r="C152" s="4" t="s">
        <v>32</v>
      </c>
      <c r="D152" s="4" t="s">
        <v>33</v>
      </c>
      <c r="E152" s="17">
        <v>43569</v>
      </c>
      <c r="F152" s="4" t="s">
        <v>15</v>
      </c>
      <c r="G152" s="8">
        <f t="shared" si="2"/>
        <v>1</v>
      </c>
    </row>
    <row r="153" spans="1:7" x14ac:dyDescent="0.25">
      <c r="A153" s="6">
        <v>45381</v>
      </c>
      <c r="B153" s="4" t="s">
        <v>34</v>
      </c>
      <c r="C153" s="4" t="s">
        <v>35</v>
      </c>
      <c r="D153" s="4" t="s">
        <v>36</v>
      </c>
      <c r="E153" s="17">
        <v>40172</v>
      </c>
      <c r="F153" s="4" t="s">
        <v>15</v>
      </c>
      <c r="G153" s="8">
        <f t="shared" si="2"/>
        <v>1</v>
      </c>
    </row>
    <row r="154" spans="1:7" x14ac:dyDescent="0.25">
      <c r="A154" s="6">
        <v>45382</v>
      </c>
      <c r="B154" s="4" t="s">
        <v>25</v>
      </c>
      <c r="C154" s="4" t="s">
        <v>41</v>
      </c>
      <c r="D154" s="4" t="s">
        <v>42</v>
      </c>
      <c r="E154" s="17">
        <v>8551</v>
      </c>
      <c r="F154" s="4" t="s">
        <v>21</v>
      </c>
      <c r="G154" s="8">
        <f t="shared" si="2"/>
        <v>1</v>
      </c>
    </row>
    <row r="155" spans="1:7" x14ac:dyDescent="0.25">
      <c r="A155" s="6">
        <v>45382</v>
      </c>
      <c r="B155" s="4" t="s">
        <v>12</v>
      </c>
      <c r="C155" s="4" t="s">
        <v>45</v>
      </c>
      <c r="D155" s="4" t="s">
        <v>46</v>
      </c>
      <c r="E155" s="17">
        <v>27438</v>
      </c>
      <c r="F155" s="4" t="s">
        <v>15</v>
      </c>
      <c r="G155" s="8">
        <f t="shared" si="2"/>
        <v>1</v>
      </c>
    </row>
    <row r="156" spans="1:7" x14ac:dyDescent="0.25">
      <c r="A156" s="6">
        <v>45383</v>
      </c>
      <c r="B156" s="4" t="s">
        <v>12</v>
      </c>
      <c r="C156" s="4" t="s">
        <v>13</v>
      </c>
      <c r="D156" s="4" t="s">
        <v>14</v>
      </c>
      <c r="E156" s="17">
        <v>37926</v>
      </c>
      <c r="F156" s="4" t="s">
        <v>15</v>
      </c>
      <c r="G156" s="8">
        <f t="shared" si="2"/>
        <v>2</v>
      </c>
    </row>
    <row r="157" spans="1:7" x14ac:dyDescent="0.25">
      <c r="A157" s="6">
        <v>45385</v>
      </c>
      <c r="B157" s="4" t="s">
        <v>18</v>
      </c>
      <c r="C157" s="4" t="s">
        <v>19</v>
      </c>
      <c r="D157" s="4" t="s">
        <v>20</v>
      </c>
      <c r="E157" s="17">
        <v>16908</v>
      </c>
      <c r="F157" s="4" t="s">
        <v>21</v>
      </c>
      <c r="G157" s="8">
        <f t="shared" si="2"/>
        <v>2</v>
      </c>
    </row>
    <row r="158" spans="1:7" x14ac:dyDescent="0.25">
      <c r="A158" s="7">
        <v>45386</v>
      </c>
      <c r="B158" s="5" t="s">
        <v>25</v>
      </c>
      <c r="C158" s="5" t="s">
        <v>53</v>
      </c>
      <c r="D158" s="5" t="s">
        <v>54</v>
      </c>
      <c r="E158" s="16">
        <v>104655</v>
      </c>
      <c r="F158" s="5" t="s">
        <v>21</v>
      </c>
      <c r="G158" s="8">
        <f t="shared" si="2"/>
        <v>2</v>
      </c>
    </row>
    <row r="159" spans="1:7" x14ac:dyDescent="0.25">
      <c r="A159" s="6">
        <v>45388</v>
      </c>
      <c r="B159" s="4" t="s">
        <v>34</v>
      </c>
      <c r="C159" s="4" t="s">
        <v>43</v>
      </c>
      <c r="D159" s="4" t="s">
        <v>44</v>
      </c>
      <c r="E159" s="17">
        <v>43913</v>
      </c>
      <c r="F159" s="4" t="s">
        <v>15</v>
      </c>
      <c r="G159" s="8">
        <f t="shared" si="2"/>
        <v>2</v>
      </c>
    </row>
    <row r="160" spans="1:7" x14ac:dyDescent="0.25">
      <c r="A160" s="6">
        <v>45390</v>
      </c>
      <c r="B160" s="4" t="s">
        <v>18</v>
      </c>
      <c r="C160" s="4" t="s">
        <v>47</v>
      </c>
      <c r="D160" s="4" t="s">
        <v>48</v>
      </c>
      <c r="E160" s="17">
        <v>1116</v>
      </c>
      <c r="F160" s="4" t="s">
        <v>15</v>
      </c>
      <c r="G160" s="8">
        <f t="shared" si="2"/>
        <v>2</v>
      </c>
    </row>
    <row r="161" spans="1:7" x14ac:dyDescent="0.25">
      <c r="A161" s="6">
        <v>45393</v>
      </c>
      <c r="B161" s="4" t="s">
        <v>25</v>
      </c>
      <c r="C161" s="4" t="s">
        <v>41</v>
      </c>
      <c r="D161" s="4" t="s">
        <v>42</v>
      </c>
      <c r="E161" s="17">
        <v>13244</v>
      </c>
      <c r="F161" s="4" t="s">
        <v>21</v>
      </c>
      <c r="G161" s="8">
        <f t="shared" si="2"/>
        <v>2</v>
      </c>
    </row>
    <row r="162" spans="1:7" x14ac:dyDescent="0.25">
      <c r="A162" s="6">
        <v>45393</v>
      </c>
      <c r="B162" s="4" t="s">
        <v>34</v>
      </c>
      <c r="C162" s="4" t="s">
        <v>37</v>
      </c>
      <c r="D162" s="4" t="s">
        <v>38</v>
      </c>
      <c r="E162" s="17">
        <v>4269</v>
      </c>
      <c r="F162" s="4" t="s">
        <v>15</v>
      </c>
      <c r="G162" s="8">
        <f t="shared" si="2"/>
        <v>2</v>
      </c>
    </row>
    <row r="163" spans="1:7" x14ac:dyDescent="0.25">
      <c r="A163" s="6">
        <v>45393</v>
      </c>
      <c r="B163" s="4" t="s">
        <v>18</v>
      </c>
      <c r="C163" s="4" t="s">
        <v>30</v>
      </c>
      <c r="D163" s="4" t="s">
        <v>31</v>
      </c>
      <c r="E163" s="17">
        <v>40450</v>
      </c>
      <c r="F163" s="4" t="s">
        <v>21</v>
      </c>
      <c r="G163" s="8">
        <f t="shared" si="2"/>
        <v>2</v>
      </c>
    </row>
    <row r="164" spans="1:7" x14ac:dyDescent="0.25">
      <c r="A164" s="7">
        <v>45393</v>
      </c>
      <c r="B164" s="5" t="s">
        <v>25</v>
      </c>
      <c r="C164" s="5" t="s">
        <v>53</v>
      </c>
      <c r="D164" s="5" t="s">
        <v>54</v>
      </c>
      <c r="E164" s="16">
        <v>113200</v>
      </c>
      <c r="F164" s="5" t="s">
        <v>21</v>
      </c>
      <c r="G164" s="8">
        <f t="shared" si="2"/>
        <v>2</v>
      </c>
    </row>
    <row r="165" spans="1:7" x14ac:dyDescent="0.25">
      <c r="A165" s="6">
        <v>45394</v>
      </c>
      <c r="B165" s="4" t="s">
        <v>22</v>
      </c>
      <c r="C165" s="4" t="s">
        <v>32</v>
      </c>
      <c r="D165" s="4" t="s">
        <v>33</v>
      </c>
      <c r="E165" s="17">
        <v>48659</v>
      </c>
      <c r="F165" s="4" t="s">
        <v>15</v>
      </c>
      <c r="G165" s="8">
        <f t="shared" si="2"/>
        <v>2</v>
      </c>
    </row>
    <row r="166" spans="1:7" x14ac:dyDescent="0.25">
      <c r="A166" s="6">
        <v>45395</v>
      </c>
      <c r="B166" s="4" t="s">
        <v>34</v>
      </c>
      <c r="C166" s="4" t="s">
        <v>37</v>
      </c>
      <c r="D166" s="4" t="s">
        <v>38</v>
      </c>
      <c r="E166" s="17">
        <v>13313</v>
      </c>
      <c r="F166" s="4" t="s">
        <v>15</v>
      </c>
      <c r="G166" s="8">
        <f t="shared" si="2"/>
        <v>2</v>
      </c>
    </row>
    <row r="167" spans="1:7" x14ac:dyDescent="0.25">
      <c r="A167" s="7">
        <v>45400</v>
      </c>
      <c r="B167" s="5" t="s">
        <v>34</v>
      </c>
      <c r="C167" s="5" t="s">
        <v>37</v>
      </c>
      <c r="D167" s="5" t="s">
        <v>38</v>
      </c>
      <c r="E167" s="16">
        <v>19860</v>
      </c>
      <c r="F167" s="5" t="s">
        <v>15</v>
      </c>
      <c r="G167" s="8">
        <f t="shared" si="2"/>
        <v>2</v>
      </c>
    </row>
    <row r="168" spans="1:7" x14ac:dyDescent="0.25">
      <c r="A168" s="7">
        <v>45400</v>
      </c>
      <c r="B168" s="5" t="s">
        <v>22</v>
      </c>
      <c r="C168" s="5" t="s">
        <v>35</v>
      </c>
      <c r="D168" s="5" t="s">
        <v>36</v>
      </c>
      <c r="E168" s="16">
        <v>23400</v>
      </c>
      <c r="F168" s="5" t="s">
        <v>15</v>
      </c>
      <c r="G168" s="8">
        <f t="shared" si="2"/>
        <v>2</v>
      </c>
    </row>
    <row r="169" spans="1:7" x14ac:dyDescent="0.25">
      <c r="A169" s="7">
        <v>45401</v>
      </c>
      <c r="B169" s="5" t="s">
        <v>22</v>
      </c>
      <c r="C169" s="5" t="s">
        <v>35</v>
      </c>
      <c r="D169" s="5" t="s">
        <v>36</v>
      </c>
      <c r="E169" s="16">
        <v>23640</v>
      </c>
      <c r="F169" s="5" t="s">
        <v>15</v>
      </c>
      <c r="G169" s="8">
        <f t="shared" si="2"/>
        <v>2</v>
      </c>
    </row>
    <row r="170" spans="1:7" x14ac:dyDescent="0.25">
      <c r="A170" s="7">
        <v>45401</v>
      </c>
      <c r="B170" s="5" t="s">
        <v>22</v>
      </c>
      <c r="C170" s="5" t="s">
        <v>35</v>
      </c>
      <c r="D170" s="5" t="s">
        <v>36</v>
      </c>
      <c r="E170" s="16">
        <v>24500</v>
      </c>
      <c r="F170" s="5" t="s">
        <v>15</v>
      </c>
      <c r="G170" s="8">
        <f t="shared" si="2"/>
        <v>2</v>
      </c>
    </row>
    <row r="171" spans="1:7" x14ac:dyDescent="0.25">
      <c r="A171" s="6">
        <v>45402</v>
      </c>
      <c r="B171" s="4" t="s">
        <v>12</v>
      </c>
      <c r="C171" s="4" t="s">
        <v>45</v>
      </c>
      <c r="D171" s="4" t="s">
        <v>46</v>
      </c>
      <c r="E171" s="17">
        <v>10945</v>
      </c>
      <c r="F171" s="4" t="s">
        <v>15</v>
      </c>
      <c r="G171" s="8">
        <f t="shared" si="2"/>
        <v>2</v>
      </c>
    </row>
    <row r="172" spans="1:7" x14ac:dyDescent="0.25">
      <c r="A172" s="7">
        <v>45402</v>
      </c>
      <c r="B172" s="5" t="s">
        <v>34</v>
      </c>
      <c r="C172" s="5" t="s">
        <v>37</v>
      </c>
      <c r="D172" s="5" t="s">
        <v>38</v>
      </c>
      <c r="E172" s="16">
        <v>20400</v>
      </c>
      <c r="F172" s="5" t="s">
        <v>15</v>
      </c>
      <c r="G172" s="8">
        <f t="shared" si="2"/>
        <v>2</v>
      </c>
    </row>
    <row r="173" spans="1:7" x14ac:dyDescent="0.25">
      <c r="A173" s="7">
        <v>45402</v>
      </c>
      <c r="B173" s="5" t="s">
        <v>22</v>
      </c>
      <c r="C173" s="5" t="s">
        <v>35</v>
      </c>
      <c r="D173" s="5" t="s">
        <v>36</v>
      </c>
      <c r="E173" s="16">
        <v>24100</v>
      </c>
      <c r="F173" s="5" t="s">
        <v>15</v>
      </c>
      <c r="G173" s="8">
        <f t="shared" si="2"/>
        <v>2</v>
      </c>
    </row>
    <row r="174" spans="1:7" x14ac:dyDescent="0.25">
      <c r="A174" s="7">
        <v>45402</v>
      </c>
      <c r="B174" s="5" t="s">
        <v>22</v>
      </c>
      <c r="C174" s="5" t="s">
        <v>35</v>
      </c>
      <c r="D174" s="5" t="s">
        <v>36</v>
      </c>
      <c r="E174" s="16">
        <v>25600</v>
      </c>
      <c r="F174" s="5" t="s">
        <v>15</v>
      </c>
      <c r="G174" s="8">
        <f t="shared" si="2"/>
        <v>2</v>
      </c>
    </row>
    <row r="175" spans="1:7" x14ac:dyDescent="0.25">
      <c r="A175" s="7">
        <v>45402</v>
      </c>
      <c r="B175" s="5" t="s">
        <v>22</v>
      </c>
      <c r="C175" s="5" t="s">
        <v>35</v>
      </c>
      <c r="D175" s="5" t="s">
        <v>36</v>
      </c>
      <c r="E175" s="16">
        <v>25100</v>
      </c>
      <c r="F175" s="5" t="s">
        <v>15</v>
      </c>
      <c r="G175" s="8">
        <f t="shared" si="2"/>
        <v>2</v>
      </c>
    </row>
    <row r="176" spans="1:7" x14ac:dyDescent="0.25">
      <c r="A176" s="7">
        <v>45403</v>
      </c>
      <c r="B176" s="5" t="s">
        <v>22</v>
      </c>
      <c r="C176" s="5" t="s">
        <v>35</v>
      </c>
      <c r="D176" s="5" t="s">
        <v>36</v>
      </c>
      <c r="E176" s="16">
        <v>25200</v>
      </c>
      <c r="F176" s="5" t="s">
        <v>15</v>
      </c>
      <c r="G176" s="8">
        <f t="shared" si="2"/>
        <v>2</v>
      </c>
    </row>
    <row r="177" spans="1:7" x14ac:dyDescent="0.25">
      <c r="A177" s="7">
        <v>45404</v>
      </c>
      <c r="B177" s="5" t="s">
        <v>22</v>
      </c>
      <c r="C177" s="5" t="s">
        <v>35</v>
      </c>
      <c r="D177" s="5" t="s">
        <v>36</v>
      </c>
      <c r="E177" s="16">
        <v>22800</v>
      </c>
      <c r="F177" s="5" t="s">
        <v>15</v>
      </c>
      <c r="G177" s="8">
        <f t="shared" si="2"/>
        <v>2</v>
      </c>
    </row>
    <row r="178" spans="1:7" x14ac:dyDescent="0.25">
      <c r="A178" s="7">
        <v>45404</v>
      </c>
      <c r="B178" s="5" t="s">
        <v>22</v>
      </c>
      <c r="C178" s="5" t="s">
        <v>35</v>
      </c>
      <c r="D178" s="5" t="s">
        <v>36</v>
      </c>
      <c r="E178" s="16">
        <v>24800</v>
      </c>
      <c r="F178" s="5" t="s">
        <v>15</v>
      </c>
      <c r="G178" s="8">
        <f t="shared" si="2"/>
        <v>2</v>
      </c>
    </row>
    <row r="179" spans="1:7" x14ac:dyDescent="0.25">
      <c r="A179" s="6">
        <v>45405</v>
      </c>
      <c r="B179" s="4" t="s">
        <v>12</v>
      </c>
      <c r="C179" s="4" t="s">
        <v>16</v>
      </c>
      <c r="D179" s="4" t="s">
        <v>17</v>
      </c>
      <c r="E179" s="17">
        <v>30526</v>
      </c>
      <c r="F179" s="4" t="s">
        <v>15</v>
      </c>
      <c r="G179" s="8">
        <f t="shared" si="2"/>
        <v>2</v>
      </c>
    </row>
    <row r="180" spans="1:7" x14ac:dyDescent="0.25">
      <c r="A180" s="7">
        <v>45405</v>
      </c>
      <c r="B180" s="5" t="s">
        <v>22</v>
      </c>
      <c r="C180" s="5" t="s">
        <v>35</v>
      </c>
      <c r="D180" s="5" t="s">
        <v>36</v>
      </c>
      <c r="E180" s="16">
        <v>23600</v>
      </c>
      <c r="F180" s="5" t="s">
        <v>15</v>
      </c>
      <c r="G180" s="8">
        <f t="shared" si="2"/>
        <v>2</v>
      </c>
    </row>
    <row r="181" spans="1:7" x14ac:dyDescent="0.25">
      <c r="A181" s="7">
        <v>45405</v>
      </c>
      <c r="B181" s="5" t="s">
        <v>22</v>
      </c>
      <c r="C181" s="5" t="s">
        <v>35</v>
      </c>
      <c r="D181" s="5" t="s">
        <v>36</v>
      </c>
      <c r="E181" s="16">
        <v>24700</v>
      </c>
      <c r="F181" s="5" t="s">
        <v>15</v>
      </c>
      <c r="G181" s="8">
        <f t="shared" si="2"/>
        <v>2</v>
      </c>
    </row>
    <row r="182" spans="1:7" x14ac:dyDescent="0.25">
      <c r="A182" s="7">
        <v>45405</v>
      </c>
      <c r="B182" s="5" t="s">
        <v>22</v>
      </c>
      <c r="C182" s="5" t="s">
        <v>35</v>
      </c>
      <c r="D182" s="5" t="s">
        <v>36</v>
      </c>
      <c r="E182" s="16">
        <v>23800</v>
      </c>
      <c r="F182" s="5" t="s">
        <v>15</v>
      </c>
      <c r="G182" s="8">
        <f t="shared" si="2"/>
        <v>2</v>
      </c>
    </row>
    <row r="183" spans="1:7" x14ac:dyDescent="0.25">
      <c r="A183" s="7">
        <v>45405</v>
      </c>
      <c r="B183" s="5" t="s">
        <v>22</v>
      </c>
      <c r="C183" s="5" t="s">
        <v>35</v>
      </c>
      <c r="D183" s="5" t="s">
        <v>36</v>
      </c>
      <c r="E183" s="16">
        <v>24100</v>
      </c>
      <c r="F183" s="5" t="s">
        <v>15</v>
      </c>
      <c r="G183" s="8">
        <f t="shared" si="2"/>
        <v>2</v>
      </c>
    </row>
    <row r="184" spans="1:7" x14ac:dyDescent="0.25">
      <c r="A184" s="7">
        <v>45405</v>
      </c>
      <c r="B184" s="5" t="s">
        <v>22</v>
      </c>
      <c r="C184" s="5" t="s">
        <v>35</v>
      </c>
      <c r="D184" s="5" t="s">
        <v>36</v>
      </c>
      <c r="E184" s="16">
        <v>23000</v>
      </c>
      <c r="F184" s="5" t="s">
        <v>15</v>
      </c>
      <c r="G184" s="8">
        <f t="shared" si="2"/>
        <v>2</v>
      </c>
    </row>
    <row r="185" spans="1:7" x14ac:dyDescent="0.25">
      <c r="A185" s="7">
        <v>45406</v>
      </c>
      <c r="B185" s="5" t="s">
        <v>22</v>
      </c>
      <c r="C185" s="5" t="s">
        <v>35</v>
      </c>
      <c r="D185" s="5" t="s">
        <v>36</v>
      </c>
      <c r="E185" s="16">
        <v>24200</v>
      </c>
      <c r="F185" s="5" t="s">
        <v>15</v>
      </c>
      <c r="G185" s="8">
        <f t="shared" si="2"/>
        <v>2</v>
      </c>
    </row>
    <row r="186" spans="1:7" x14ac:dyDescent="0.25">
      <c r="A186" s="7">
        <v>45406</v>
      </c>
      <c r="B186" s="5" t="s">
        <v>22</v>
      </c>
      <c r="C186" s="5" t="s">
        <v>35</v>
      </c>
      <c r="D186" s="5" t="s">
        <v>36</v>
      </c>
      <c r="E186" s="16">
        <v>23300</v>
      </c>
      <c r="F186" s="5" t="s">
        <v>15</v>
      </c>
      <c r="G186" s="8">
        <f t="shared" si="2"/>
        <v>2</v>
      </c>
    </row>
    <row r="187" spans="1:7" x14ac:dyDescent="0.25">
      <c r="A187" s="7">
        <v>45406</v>
      </c>
      <c r="B187" s="5" t="s">
        <v>22</v>
      </c>
      <c r="C187" s="5" t="s">
        <v>35</v>
      </c>
      <c r="D187" s="5" t="s">
        <v>36</v>
      </c>
      <c r="E187" s="16">
        <v>23700</v>
      </c>
      <c r="F187" s="5" t="s">
        <v>15</v>
      </c>
      <c r="G187" s="8">
        <f t="shared" si="2"/>
        <v>2</v>
      </c>
    </row>
    <row r="188" spans="1:7" x14ac:dyDescent="0.25">
      <c r="A188" s="7">
        <v>45407</v>
      </c>
      <c r="B188" s="5" t="s">
        <v>25</v>
      </c>
      <c r="C188" s="5" t="s">
        <v>57</v>
      </c>
      <c r="D188" s="5" t="s">
        <v>58</v>
      </c>
      <c r="E188" s="16">
        <v>13480</v>
      </c>
      <c r="F188" s="5" t="s">
        <v>15</v>
      </c>
      <c r="G188" s="8">
        <f t="shared" si="2"/>
        <v>2</v>
      </c>
    </row>
    <row r="189" spans="1:7" x14ac:dyDescent="0.25">
      <c r="A189" s="7">
        <v>45407</v>
      </c>
      <c r="B189" s="5" t="s">
        <v>22</v>
      </c>
      <c r="C189" s="5" t="s">
        <v>35</v>
      </c>
      <c r="D189" s="5" t="s">
        <v>36</v>
      </c>
      <c r="E189" s="16">
        <v>24000</v>
      </c>
      <c r="F189" s="5" t="s">
        <v>15</v>
      </c>
      <c r="G189" s="8">
        <f t="shared" si="2"/>
        <v>2</v>
      </c>
    </row>
    <row r="190" spans="1:7" x14ac:dyDescent="0.25">
      <c r="A190" s="7">
        <v>45407</v>
      </c>
      <c r="B190" s="5" t="s">
        <v>22</v>
      </c>
      <c r="C190" s="5" t="s">
        <v>35</v>
      </c>
      <c r="D190" s="5" t="s">
        <v>36</v>
      </c>
      <c r="E190" s="16">
        <v>23600</v>
      </c>
      <c r="F190" s="5" t="s">
        <v>15</v>
      </c>
      <c r="G190" s="8">
        <f t="shared" si="2"/>
        <v>2</v>
      </c>
    </row>
    <row r="191" spans="1:7" x14ac:dyDescent="0.25">
      <c r="A191" s="7">
        <v>45407</v>
      </c>
      <c r="B191" s="5" t="s">
        <v>22</v>
      </c>
      <c r="C191" s="5" t="s">
        <v>35</v>
      </c>
      <c r="D191" s="5" t="s">
        <v>36</v>
      </c>
      <c r="E191" s="16">
        <v>23400</v>
      </c>
      <c r="F191" s="5" t="s">
        <v>15</v>
      </c>
      <c r="G191" s="8">
        <f t="shared" si="2"/>
        <v>2</v>
      </c>
    </row>
    <row r="192" spans="1:7" x14ac:dyDescent="0.25">
      <c r="A192" s="7">
        <v>45408</v>
      </c>
      <c r="B192" s="5" t="s">
        <v>34</v>
      </c>
      <c r="C192" s="5" t="s">
        <v>55</v>
      </c>
      <c r="D192" s="5" t="s">
        <v>56</v>
      </c>
      <c r="E192" s="16">
        <v>39500</v>
      </c>
      <c r="F192" s="5" t="s">
        <v>15</v>
      </c>
      <c r="G192" s="8">
        <f t="shared" si="2"/>
        <v>2</v>
      </c>
    </row>
    <row r="193" spans="1:7" x14ac:dyDescent="0.25">
      <c r="A193" s="7">
        <v>45408</v>
      </c>
      <c r="B193" s="5" t="s">
        <v>25</v>
      </c>
      <c r="C193" s="5" t="s">
        <v>57</v>
      </c>
      <c r="D193" s="5" t="s">
        <v>58</v>
      </c>
      <c r="E193" s="16">
        <v>14120</v>
      </c>
      <c r="F193" s="5" t="s">
        <v>15</v>
      </c>
      <c r="G193" s="8">
        <f t="shared" si="2"/>
        <v>2</v>
      </c>
    </row>
    <row r="194" spans="1:7" x14ac:dyDescent="0.25">
      <c r="A194" s="7">
        <v>45408</v>
      </c>
      <c r="B194" s="5" t="s">
        <v>22</v>
      </c>
      <c r="C194" s="5" t="s">
        <v>35</v>
      </c>
      <c r="D194" s="5" t="s">
        <v>36</v>
      </c>
      <c r="E194" s="16">
        <v>22900</v>
      </c>
      <c r="F194" s="5" t="s">
        <v>15</v>
      </c>
      <c r="G194" s="8">
        <f t="shared" ref="G194:G257" si="3">INT((MONTH(A194)-1)/3)+1</f>
        <v>2</v>
      </c>
    </row>
    <row r="195" spans="1:7" x14ac:dyDescent="0.25">
      <c r="A195" s="7">
        <v>45408</v>
      </c>
      <c r="B195" s="5" t="s">
        <v>22</v>
      </c>
      <c r="C195" s="5" t="s">
        <v>35</v>
      </c>
      <c r="D195" s="5" t="s">
        <v>36</v>
      </c>
      <c r="E195" s="16">
        <v>23900</v>
      </c>
      <c r="F195" s="5" t="s">
        <v>15</v>
      </c>
      <c r="G195" s="8">
        <f t="shared" si="3"/>
        <v>2</v>
      </c>
    </row>
    <row r="196" spans="1:7" x14ac:dyDescent="0.25">
      <c r="A196" s="7">
        <v>45410</v>
      </c>
      <c r="B196" s="5" t="s">
        <v>34</v>
      </c>
      <c r="C196" s="5" t="s">
        <v>55</v>
      </c>
      <c r="D196" s="5" t="s">
        <v>56</v>
      </c>
      <c r="E196" s="16">
        <v>39990</v>
      </c>
      <c r="F196" s="5" t="s">
        <v>15</v>
      </c>
      <c r="G196" s="8">
        <f t="shared" si="3"/>
        <v>2</v>
      </c>
    </row>
    <row r="197" spans="1:7" x14ac:dyDescent="0.25">
      <c r="A197" s="6">
        <v>45411</v>
      </c>
      <c r="B197" s="4" t="s">
        <v>34</v>
      </c>
      <c r="C197" s="4" t="s">
        <v>35</v>
      </c>
      <c r="D197" s="4" t="s">
        <v>36</v>
      </c>
      <c r="E197" s="17">
        <v>43029</v>
      </c>
      <c r="F197" s="4" t="s">
        <v>15</v>
      </c>
      <c r="G197" s="8">
        <f t="shared" si="3"/>
        <v>2</v>
      </c>
    </row>
    <row r="198" spans="1:7" x14ac:dyDescent="0.25">
      <c r="A198" s="7">
        <v>45411</v>
      </c>
      <c r="B198" s="5" t="s">
        <v>34</v>
      </c>
      <c r="C198" s="5" t="s">
        <v>55</v>
      </c>
      <c r="D198" s="5" t="s">
        <v>56</v>
      </c>
      <c r="E198" s="16">
        <v>41700</v>
      </c>
      <c r="F198" s="5" t="s">
        <v>15</v>
      </c>
      <c r="G198" s="8">
        <f t="shared" si="3"/>
        <v>2</v>
      </c>
    </row>
    <row r="199" spans="1:7" x14ac:dyDescent="0.25">
      <c r="A199" s="6">
        <v>45413</v>
      </c>
      <c r="B199" s="4" t="s">
        <v>18</v>
      </c>
      <c r="C199" s="4" t="s">
        <v>30</v>
      </c>
      <c r="D199" s="4" t="s">
        <v>31</v>
      </c>
      <c r="E199" s="17">
        <v>31126</v>
      </c>
      <c r="F199" s="4" t="s">
        <v>21</v>
      </c>
      <c r="G199" s="8">
        <f t="shared" si="3"/>
        <v>2</v>
      </c>
    </row>
    <row r="200" spans="1:7" x14ac:dyDescent="0.25">
      <c r="A200" s="7">
        <v>45417</v>
      </c>
      <c r="B200" s="5" t="s">
        <v>18</v>
      </c>
      <c r="C200" s="5" t="s">
        <v>61</v>
      </c>
      <c r="D200" s="5" t="s">
        <v>62</v>
      </c>
      <c r="E200" s="16">
        <v>10200</v>
      </c>
      <c r="F200" s="5" t="s">
        <v>15</v>
      </c>
      <c r="G200" s="8">
        <f t="shared" si="3"/>
        <v>2</v>
      </c>
    </row>
    <row r="201" spans="1:7" x14ac:dyDescent="0.25">
      <c r="A201" s="7">
        <v>45417</v>
      </c>
      <c r="B201" s="5" t="s">
        <v>12</v>
      </c>
      <c r="C201" s="5" t="s">
        <v>16</v>
      </c>
      <c r="D201" s="5" t="s">
        <v>17</v>
      </c>
      <c r="E201" s="16">
        <v>7680</v>
      </c>
      <c r="F201" s="5" t="s">
        <v>15</v>
      </c>
      <c r="G201" s="8">
        <f t="shared" si="3"/>
        <v>2</v>
      </c>
    </row>
    <row r="202" spans="1:7" x14ac:dyDescent="0.25">
      <c r="A202" s="6">
        <v>45419</v>
      </c>
      <c r="B202" s="4" t="s">
        <v>22</v>
      </c>
      <c r="C202" s="4" t="s">
        <v>23</v>
      </c>
      <c r="D202" s="4" t="s">
        <v>24</v>
      </c>
      <c r="E202" s="17">
        <v>17607</v>
      </c>
      <c r="F202" s="4" t="s">
        <v>15</v>
      </c>
      <c r="G202" s="8">
        <f t="shared" si="3"/>
        <v>2</v>
      </c>
    </row>
    <row r="203" spans="1:7" x14ac:dyDescent="0.25">
      <c r="A203" s="7">
        <v>45419</v>
      </c>
      <c r="B203" s="5" t="s">
        <v>18</v>
      </c>
      <c r="C203" s="5" t="s">
        <v>61</v>
      </c>
      <c r="D203" s="5" t="s">
        <v>62</v>
      </c>
      <c r="E203" s="16">
        <v>8920</v>
      </c>
      <c r="F203" s="5" t="s">
        <v>15</v>
      </c>
      <c r="G203" s="8">
        <f t="shared" si="3"/>
        <v>2</v>
      </c>
    </row>
    <row r="204" spans="1:7" x14ac:dyDescent="0.25">
      <c r="A204" s="6">
        <v>45420</v>
      </c>
      <c r="B204" s="4" t="s">
        <v>12</v>
      </c>
      <c r="C204" s="4" t="s">
        <v>45</v>
      </c>
      <c r="D204" s="4" t="s">
        <v>46</v>
      </c>
      <c r="E204" s="17">
        <v>36955</v>
      </c>
      <c r="F204" s="4" t="s">
        <v>15</v>
      </c>
      <c r="G204" s="8">
        <f t="shared" si="3"/>
        <v>2</v>
      </c>
    </row>
    <row r="205" spans="1:7" x14ac:dyDescent="0.25">
      <c r="A205" s="7">
        <v>45420</v>
      </c>
      <c r="B205" s="5" t="s">
        <v>22</v>
      </c>
      <c r="C205" s="5" t="s">
        <v>35</v>
      </c>
      <c r="D205" s="5" t="s">
        <v>36</v>
      </c>
      <c r="E205" s="16">
        <v>19950</v>
      </c>
      <c r="F205" s="5" t="s">
        <v>15</v>
      </c>
      <c r="G205" s="8">
        <f t="shared" si="3"/>
        <v>2</v>
      </c>
    </row>
    <row r="206" spans="1:7" x14ac:dyDescent="0.25">
      <c r="A206" s="7">
        <v>45421</v>
      </c>
      <c r="B206" s="5" t="s">
        <v>25</v>
      </c>
      <c r="C206" s="5" t="s">
        <v>41</v>
      </c>
      <c r="D206" s="5" t="s">
        <v>42</v>
      </c>
      <c r="E206" s="16">
        <v>74326</v>
      </c>
      <c r="F206" s="5" t="s">
        <v>21</v>
      </c>
      <c r="G206" s="8">
        <f t="shared" si="3"/>
        <v>2</v>
      </c>
    </row>
    <row r="207" spans="1:7" x14ac:dyDescent="0.25">
      <c r="A207" s="7">
        <v>45422</v>
      </c>
      <c r="B207" s="5" t="s">
        <v>22</v>
      </c>
      <c r="C207" s="5" t="s">
        <v>35</v>
      </c>
      <c r="D207" s="5" t="s">
        <v>36</v>
      </c>
      <c r="E207" s="16">
        <v>21200</v>
      </c>
      <c r="F207" s="5" t="s">
        <v>15</v>
      </c>
      <c r="G207" s="8">
        <f t="shared" si="3"/>
        <v>2</v>
      </c>
    </row>
    <row r="208" spans="1:7" x14ac:dyDescent="0.25">
      <c r="A208" s="6">
        <v>45425</v>
      </c>
      <c r="B208" s="4" t="s">
        <v>12</v>
      </c>
      <c r="C208" s="4" t="s">
        <v>45</v>
      </c>
      <c r="D208" s="4" t="s">
        <v>46</v>
      </c>
      <c r="E208" s="17">
        <v>3707</v>
      </c>
      <c r="F208" s="4" t="s">
        <v>15</v>
      </c>
      <c r="G208" s="8">
        <f t="shared" si="3"/>
        <v>2</v>
      </c>
    </row>
    <row r="209" spans="1:7" x14ac:dyDescent="0.25">
      <c r="A209" s="6">
        <v>45425</v>
      </c>
      <c r="B209" s="4" t="s">
        <v>12</v>
      </c>
      <c r="C209" s="4" t="s">
        <v>16</v>
      </c>
      <c r="D209" s="4" t="s">
        <v>17</v>
      </c>
      <c r="E209" s="17">
        <v>37148</v>
      </c>
      <c r="F209" s="4" t="s">
        <v>15</v>
      </c>
      <c r="G209" s="8">
        <f t="shared" si="3"/>
        <v>2</v>
      </c>
    </row>
    <row r="210" spans="1:7" x14ac:dyDescent="0.25">
      <c r="A210" s="7">
        <v>45425</v>
      </c>
      <c r="B210" s="5" t="s">
        <v>22</v>
      </c>
      <c r="C210" s="5" t="s">
        <v>39</v>
      </c>
      <c r="D210" s="5" t="s">
        <v>40</v>
      </c>
      <c r="E210" s="16">
        <v>17800</v>
      </c>
      <c r="F210" s="5" t="s">
        <v>15</v>
      </c>
      <c r="G210" s="8">
        <f t="shared" si="3"/>
        <v>2</v>
      </c>
    </row>
    <row r="211" spans="1:7" x14ac:dyDescent="0.25">
      <c r="A211" s="7">
        <v>45425</v>
      </c>
      <c r="B211" s="5" t="s">
        <v>22</v>
      </c>
      <c r="C211" s="5" t="s">
        <v>39</v>
      </c>
      <c r="D211" s="5" t="s">
        <v>40</v>
      </c>
      <c r="E211" s="16">
        <v>18890</v>
      </c>
      <c r="F211" s="5" t="s">
        <v>15</v>
      </c>
      <c r="G211" s="8">
        <f t="shared" si="3"/>
        <v>2</v>
      </c>
    </row>
    <row r="212" spans="1:7" x14ac:dyDescent="0.25">
      <c r="A212" s="6">
        <v>45426</v>
      </c>
      <c r="B212" s="4" t="s">
        <v>25</v>
      </c>
      <c r="C212" s="4" t="s">
        <v>26</v>
      </c>
      <c r="D212" s="4" t="s">
        <v>27</v>
      </c>
      <c r="E212" s="17">
        <v>41850</v>
      </c>
      <c r="F212" s="4" t="s">
        <v>15</v>
      </c>
      <c r="G212" s="8">
        <f t="shared" si="3"/>
        <v>2</v>
      </c>
    </row>
    <row r="213" spans="1:7" x14ac:dyDescent="0.25">
      <c r="A213" s="7">
        <v>45426</v>
      </c>
      <c r="B213" s="5" t="s">
        <v>22</v>
      </c>
      <c r="C213" s="5" t="s">
        <v>39</v>
      </c>
      <c r="D213" s="5" t="s">
        <v>40</v>
      </c>
      <c r="E213" s="16">
        <v>19400</v>
      </c>
      <c r="F213" s="5" t="s">
        <v>15</v>
      </c>
      <c r="G213" s="8">
        <f t="shared" si="3"/>
        <v>2</v>
      </c>
    </row>
    <row r="214" spans="1:7" x14ac:dyDescent="0.25">
      <c r="A214" s="6">
        <v>45427</v>
      </c>
      <c r="B214" s="4" t="s">
        <v>34</v>
      </c>
      <c r="C214" s="4" t="s">
        <v>35</v>
      </c>
      <c r="D214" s="4" t="s">
        <v>36</v>
      </c>
      <c r="E214" s="17">
        <v>46031</v>
      </c>
      <c r="F214" s="4" t="s">
        <v>15</v>
      </c>
      <c r="G214" s="8">
        <f t="shared" si="3"/>
        <v>2</v>
      </c>
    </row>
    <row r="215" spans="1:7" x14ac:dyDescent="0.25">
      <c r="A215" s="7">
        <v>45427</v>
      </c>
      <c r="B215" s="5" t="s">
        <v>22</v>
      </c>
      <c r="C215" s="5" t="s">
        <v>39</v>
      </c>
      <c r="D215" s="5" t="s">
        <v>40</v>
      </c>
      <c r="E215" s="16">
        <v>17250</v>
      </c>
      <c r="F215" s="5" t="s">
        <v>15</v>
      </c>
      <c r="G215" s="8">
        <f t="shared" si="3"/>
        <v>2</v>
      </c>
    </row>
    <row r="216" spans="1:7" x14ac:dyDescent="0.25">
      <c r="A216" s="7">
        <v>45427</v>
      </c>
      <c r="B216" s="5" t="s">
        <v>22</v>
      </c>
      <c r="C216" s="5" t="s">
        <v>23</v>
      </c>
      <c r="D216" s="5" t="s">
        <v>24</v>
      </c>
      <c r="E216" s="16">
        <v>37200</v>
      </c>
      <c r="F216" s="5" t="s">
        <v>15</v>
      </c>
      <c r="G216" s="8">
        <f t="shared" si="3"/>
        <v>2</v>
      </c>
    </row>
    <row r="217" spans="1:7" x14ac:dyDescent="0.25">
      <c r="A217" s="7">
        <v>45428</v>
      </c>
      <c r="B217" s="5" t="s">
        <v>22</v>
      </c>
      <c r="C217" s="5" t="s">
        <v>23</v>
      </c>
      <c r="D217" s="5" t="s">
        <v>24</v>
      </c>
      <c r="E217" s="16">
        <v>34900</v>
      </c>
      <c r="F217" s="5" t="s">
        <v>15</v>
      </c>
      <c r="G217" s="8">
        <f t="shared" si="3"/>
        <v>2</v>
      </c>
    </row>
    <row r="218" spans="1:7" x14ac:dyDescent="0.25">
      <c r="A218" s="7">
        <v>45428</v>
      </c>
      <c r="B218" s="5" t="s">
        <v>22</v>
      </c>
      <c r="C218" s="5" t="s">
        <v>39</v>
      </c>
      <c r="D218" s="5" t="s">
        <v>40</v>
      </c>
      <c r="E218" s="16">
        <v>18650</v>
      </c>
      <c r="F218" s="5" t="s">
        <v>15</v>
      </c>
      <c r="G218" s="8">
        <f t="shared" si="3"/>
        <v>2</v>
      </c>
    </row>
    <row r="219" spans="1:7" x14ac:dyDescent="0.25">
      <c r="A219" s="7">
        <v>45429</v>
      </c>
      <c r="B219" s="5" t="s">
        <v>22</v>
      </c>
      <c r="C219" s="5" t="s">
        <v>23</v>
      </c>
      <c r="D219" s="5" t="s">
        <v>24</v>
      </c>
      <c r="E219" s="16">
        <v>35800</v>
      </c>
      <c r="F219" s="5" t="s">
        <v>15</v>
      </c>
      <c r="G219" s="8">
        <f t="shared" si="3"/>
        <v>2</v>
      </c>
    </row>
    <row r="220" spans="1:7" x14ac:dyDescent="0.25">
      <c r="A220" s="6">
        <v>45430</v>
      </c>
      <c r="B220" s="4" t="s">
        <v>22</v>
      </c>
      <c r="C220" s="4" t="s">
        <v>39</v>
      </c>
      <c r="D220" s="4" t="s">
        <v>40</v>
      </c>
      <c r="E220" s="17">
        <v>44769</v>
      </c>
      <c r="F220" s="4" t="s">
        <v>15</v>
      </c>
      <c r="G220" s="8">
        <f t="shared" si="3"/>
        <v>2</v>
      </c>
    </row>
    <row r="221" spans="1:7" x14ac:dyDescent="0.25">
      <c r="A221" s="7">
        <v>45431</v>
      </c>
      <c r="B221" s="5" t="s">
        <v>22</v>
      </c>
      <c r="C221" s="5" t="s">
        <v>39</v>
      </c>
      <c r="D221" s="5" t="s">
        <v>40</v>
      </c>
      <c r="E221" s="16">
        <v>19350</v>
      </c>
      <c r="F221" s="5" t="s">
        <v>15</v>
      </c>
      <c r="G221" s="8">
        <f t="shared" si="3"/>
        <v>2</v>
      </c>
    </row>
    <row r="222" spans="1:7" x14ac:dyDescent="0.25">
      <c r="A222" s="6">
        <v>45432</v>
      </c>
      <c r="B222" s="4" t="s">
        <v>22</v>
      </c>
      <c r="C222" s="4" t="s">
        <v>32</v>
      </c>
      <c r="D222" s="4" t="s">
        <v>33</v>
      </c>
      <c r="E222" s="17">
        <v>15685</v>
      </c>
      <c r="F222" s="4" t="s">
        <v>15</v>
      </c>
      <c r="G222" s="8">
        <f t="shared" si="3"/>
        <v>2</v>
      </c>
    </row>
    <row r="223" spans="1:7" x14ac:dyDescent="0.25">
      <c r="A223" s="7">
        <v>45432</v>
      </c>
      <c r="B223" s="5" t="s">
        <v>22</v>
      </c>
      <c r="C223" s="5" t="s">
        <v>23</v>
      </c>
      <c r="D223" s="5" t="s">
        <v>24</v>
      </c>
      <c r="E223" s="16">
        <v>35100</v>
      </c>
      <c r="F223" s="5" t="s">
        <v>15</v>
      </c>
      <c r="G223" s="8">
        <f t="shared" si="3"/>
        <v>2</v>
      </c>
    </row>
    <row r="224" spans="1:7" x14ac:dyDescent="0.25">
      <c r="A224" s="7">
        <v>45432</v>
      </c>
      <c r="B224" s="5" t="s">
        <v>22</v>
      </c>
      <c r="C224" s="5" t="s">
        <v>23</v>
      </c>
      <c r="D224" s="5" t="s">
        <v>24</v>
      </c>
      <c r="E224" s="16">
        <v>35900</v>
      </c>
      <c r="F224" s="5" t="s">
        <v>15</v>
      </c>
      <c r="G224" s="8">
        <f t="shared" si="3"/>
        <v>2</v>
      </c>
    </row>
    <row r="225" spans="1:7" x14ac:dyDescent="0.25">
      <c r="A225" s="7">
        <v>45433</v>
      </c>
      <c r="B225" s="5" t="s">
        <v>22</v>
      </c>
      <c r="C225" s="5" t="s">
        <v>23</v>
      </c>
      <c r="D225" s="5" t="s">
        <v>24</v>
      </c>
      <c r="E225" s="16">
        <v>36500</v>
      </c>
      <c r="F225" s="5" t="s">
        <v>15</v>
      </c>
      <c r="G225" s="8">
        <f t="shared" si="3"/>
        <v>2</v>
      </c>
    </row>
    <row r="226" spans="1:7" x14ac:dyDescent="0.25">
      <c r="A226" s="7">
        <v>45434</v>
      </c>
      <c r="B226" s="5" t="s">
        <v>22</v>
      </c>
      <c r="C226" s="5" t="s">
        <v>23</v>
      </c>
      <c r="D226" s="5" t="s">
        <v>24</v>
      </c>
      <c r="E226" s="16">
        <v>36400</v>
      </c>
      <c r="F226" s="5" t="s">
        <v>15</v>
      </c>
      <c r="G226" s="8">
        <f t="shared" si="3"/>
        <v>2</v>
      </c>
    </row>
    <row r="227" spans="1:7" x14ac:dyDescent="0.25">
      <c r="A227" s="7">
        <v>45434</v>
      </c>
      <c r="B227" s="5" t="s">
        <v>22</v>
      </c>
      <c r="C227" s="5" t="s">
        <v>39</v>
      </c>
      <c r="D227" s="5" t="s">
        <v>40</v>
      </c>
      <c r="E227" s="16">
        <v>18300</v>
      </c>
      <c r="F227" s="5" t="s">
        <v>15</v>
      </c>
      <c r="G227" s="8">
        <f t="shared" si="3"/>
        <v>2</v>
      </c>
    </row>
    <row r="228" spans="1:7" x14ac:dyDescent="0.25">
      <c r="A228" s="7">
        <v>45435</v>
      </c>
      <c r="B228" s="5" t="s">
        <v>22</v>
      </c>
      <c r="C228" s="5" t="s">
        <v>39</v>
      </c>
      <c r="D228" s="5" t="s">
        <v>40</v>
      </c>
      <c r="E228" s="16">
        <v>17900</v>
      </c>
      <c r="F228" s="5" t="s">
        <v>15</v>
      </c>
      <c r="G228" s="8">
        <f t="shared" si="3"/>
        <v>2</v>
      </c>
    </row>
    <row r="229" spans="1:7" x14ac:dyDescent="0.25">
      <c r="A229" s="7">
        <v>45436</v>
      </c>
      <c r="B229" s="5" t="s">
        <v>22</v>
      </c>
      <c r="C229" s="5" t="s">
        <v>39</v>
      </c>
      <c r="D229" s="5" t="s">
        <v>40</v>
      </c>
      <c r="E229" s="16">
        <v>19200</v>
      </c>
      <c r="F229" s="5" t="s">
        <v>15</v>
      </c>
      <c r="G229" s="8">
        <f t="shared" si="3"/>
        <v>2</v>
      </c>
    </row>
    <row r="230" spans="1:7" x14ac:dyDescent="0.25">
      <c r="A230" s="6">
        <v>45437</v>
      </c>
      <c r="B230" s="4" t="s">
        <v>25</v>
      </c>
      <c r="C230" s="4" t="s">
        <v>28</v>
      </c>
      <c r="D230" s="4" t="s">
        <v>29</v>
      </c>
      <c r="E230" s="17">
        <v>13243</v>
      </c>
      <c r="F230" s="4" t="s">
        <v>15</v>
      </c>
      <c r="G230" s="8">
        <f t="shared" si="3"/>
        <v>2</v>
      </c>
    </row>
    <row r="231" spans="1:7" x14ac:dyDescent="0.25">
      <c r="A231" s="7">
        <v>45437</v>
      </c>
      <c r="B231" s="5" t="s">
        <v>25</v>
      </c>
      <c r="C231" s="5" t="s">
        <v>41</v>
      </c>
      <c r="D231" s="5" t="s">
        <v>42</v>
      </c>
      <c r="E231" s="16">
        <v>93400</v>
      </c>
      <c r="F231" s="5" t="s">
        <v>21</v>
      </c>
      <c r="G231" s="8">
        <f t="shared" si="3"/>
        <v>2</v>
      </c>
    </row>
    <row r="232" spans="1:7" x14ac:dyDescent="0.25">
      <c r="A232" s="7">
        <v>45437</v>
      </c>
      <c r="B232" s="5" t="s">
        <v>22</v>
      </c>
      <c r="C232" s="5" t="s">
        <v>23</v>
      </c>
      <c r="D232" s="5" t="s">
        <v>24</v>
      </c>
      <c r="E232" s="16">
        <v>37700</v>
      </c>
      <c r="F232" s="5" t="s">
        <v>15</v>
      </c>
      <c r="G232" s="8">
        <f t="shared" si="3"/>
        <v>2</v>
      </c>
    </row>
    <row r="233" spans="1:7" x14ac:dyDescent="0.25">
      <c r="A233" s="7">
        <v>45438</v>
      </c>
      <c r="B233" s="5" t="s">
        <v>22</v>
      </c>
      <c r="C233" s="5" t="s">
        <v>39</v>
      </c>
      <c r="D233" s="5" t="s">
        <v>40</v>
      </c>
      <c r="E233" s="16">
        <v>18900</v>
      </c>
      <c r="F233" s="5" t="s">
        <v>15</v>
      </c>
      <c r="G233" s="8">
        <f t="shared" si="3"/>
        <v>2</v>
      </c>
    </row>
    <row r="234" spans="1:7" x14ac:dyDescent="0.25">
      <c r="A234" s="7">
        <v>45438</v>
      </c>
      <c r="B234" s="5" t="s">
        <v>22</v>
      </c>
      <c r="C234" s="5" t="s">
        <v>23</v>
      </c>
      <c r="D234" s="5" t="s">
        <v>24</v>
      </c>
      <c r="E234" s="16">
        <v>37500</v>
      </c>
      <c r="F234" s="5" t="s">
        <v>15</v>
      </c>
      <c r="G234" s="8">
        <f t="shared" si="3"/>
        <v>2</v>
      </c>
    </row>
    <row r="235" spans="1:7" x14ac:dyDescent="0.25">
      <c r="A235" s="7">
        <v>45439</v>
      </c>
      <c r="B235" s="5" t="s">
        <v>22</v>
      </c>
      <c r="C235" s="5" t="s">
        <v>23</v>
      </c>
      <c r="D235" s="5" t="s">
        <v>24</v>
      </c>
      <c r="E235" s="16">
        <v>36100</v>
      </c>
      <c r="F235" s="5" t="s">
        <v>15</v>
      </c>
      <c r="G235" s="8">
        <f t="shared" si="3"/>
        <v>2</v>
      </c>
    </row>
    <row r="236" spans="1:7" x14ac:dyDescent="0.25">
      <c r="A236" s="7">
        <v>45440</v>
      </c>
      <c r="B236" s="5" t="s">
        <v>22</v>
      </c>
      <c r="C236" s="5" t="s">
        <v>39</v>
      </c>
      <c r="D236" s="5" t="s">
        <v>40</v>
      </c>
      <c r="E236" s="16">
        <v>18250</v>
      </c>
      <c r="F236" s="5" t="s">
        <v>15</v>
      </c>
      <c r="G236" s="8">
        <f t="shared" si="3"/>
        <v>2</v>
      </c>
    </row>
    <row r="237" spans="1:7" x14ac:dyDescent="0.25">
      <c r="A237" s="7">
        <v>45441</v>
      </c>
      <c r="B237" s="5" t="s">
        <v>22</v>
      </c>
      <c r="C237" s="5" t="s">
        <v>39</v>
      </c>
      <c r="D237" s="5" t="s">
        <v>40</v>
      </c>
      <c r="E237" s="16">
        <v>18750</v>
      </c>
      <c r="F237" s="5" t="s">
        <v>15</v>
      </c>
      <c r="G237" s="8">
        <f t="shared" si="3"/>
        <v>2</v>
      </c>
    </row>
    <row r="238" spans="1:7" x14ac:dyDescent="0.25">
      <c r="A238" s="7">
        <v>45441</v>
      </c>
      <c r="B238" s="5" t="s">
        <v>22</v>
      </c>
      <c r="C238" s="5" t="s">
        <v>23</v>
      </c>
      <c r="D238" s="5" t="s">
        <v>24</v>
      </c>
      <c r="E238" s="16">
        <v>36700</v>
      </c>
      <c r="F238" s="5" t="s">
        <v>15</v>
      </c>
      <c r="G238" s="8">
        <f t="shared" si="3"/>
        <v>2</v>
      </c>
    </row>
    <row r="239" spans="1:7" x14ac:dyDescent="0.25">
      <c r="A239" s="7">
        <v>45441</v>
      </c>
      <c r="B239" s="5" t="s">
        <v>22</v>
      </c>
      <c r="C239" s="5" t="s">
        <v>23</v>
      </c>
      <c r="D239" s="5" t="s">
        <v>24</v>
      </c>
      <c r="E239" s="16">
        <v>37000</v>
      </c>
      <c r="F239" s="5" t="s">
        <v>15</v>
      </c>
      <c r="G239" s="8">
        <f t="shared" si="3"/>
        <v>2</v>
      </c>
    </row>
    <row r="240" spans="1:7" x14ac:dyDescent="0.25">
      <c r="A240" s="6">
        <v>45442</v>
      </c>
      <c r="B240" s="4" t="s">
        <v>34</v>
      </c>
      <c r="C240" s="4" t="s">
        <v>35</v>
      </c>
      <c r="D240" s="4" t="s">
        <v>36</v>
      </c>
      <c r="E240" s="17">
        <v>9466</v>
      </c>
      <c r="F240" s="4" t="s">
        <v>15</v>
      </c>
      <c r="G240" s="8">
        <f t="shared" si="3"/>
        <v>2</v>
      </c>
    </row>
    <row r="241" spans="1:7" x14ac:dyDescent="0.25">
      <c r="A241" s="7">
        <v>45442</v>
      </c>
      <c r="B241" s="5" t="s">
        <v>22</v>
      </c>
      <c r="C241" s="5" t="s">
        <v>23</v>
      </c>
      <c r="D241" s="5" t="s">
        <v>24</v>
      </c>
      <c r="E241" s="16">
        <v>36900</v>
      </c>
      <c r="F241" s="5" t="s">
        <v>15</v>
      </c>
      <c r="G241" s="8">
        <f t="shared" si="3"/>
        <v>2</v>
      </c>
    </row>
    <row r="242" spans="1:7" x14ac:dyDescent="0.25">
      <c r="A242" s="7">
        <v>45442</v>
      </c>
      <c r="B242" s="5" t="s">
        <v>22</v>
      </c>
      <c r="C242" s="5" t="s">
        <v>23</v>
      </c>
      <c r="D242" s="5" t="s">
        <v>24</v>
      </c>
      <c r="E242" s="16">
        <v>38200</v>
      </c>
      <c r="F242" s="5" t="s">
        <v>15</v>
      </c>
      <c r="G242" s="8">
        <f t="shared" si="3"/>
        <v>2</v>
      </c>
    </row>
    <row r="243" spans="1:7" x14ac:dyDescent="0.25">
      <c r="A243" s="7">
        <v>45442</v>
      </c>
      <c r="B243" s="5" t="s">
        <v>22</v>
      </c>
      <c r="C243" s="5" t="s">
        <v>23</v>
      </c>
      <c r="D243" s="5" t="s">
        <v>24</v>
      </c>
      <c r="E243" s="16">
        <v>38900</v>
      </c>
      <c r="F243" s="5" t="s">
        <v>15</v>
      </c>
      <c r="G243" s="8">
        <f t="shared" si="3"/>
        <v>2</v>
      </c>
    </row>
    <row r="244" spans="1:7" x14ac:dyDescent="0.25">
      <c r="A244" s="7">
        <v>45442</v>
      </c>
      <c r="B244" s="5" t="s">
        <v>22</v>
      </c>
      <c r="C244" s="5" t="s">
        <v>23</v>
      </c>
      <c r="D244" s="5" t="s">
        <v>24</v>
      </c>
      <c r="E244" s="16">
        <v>37600</v>
      </c>
      <c r="F244" s="5" t="s">
        <v>15</v>
      </c>
      <c r="G244" s="8">
        <f t="shared" si="3"/>
        <v>2</v>
      </c>
    </row>
    <row r="245" spans="1:7" x14ac:dyDescent="0.25">
      <c r="A245" s="7">
        <v>45443</v>
      </c>
      <c r="B245" s="5" t="s">
        <v>22</v>
      </c>
      <c r="C245" s="5" t="s">
        <v>39</v>
      </c>
      <c r="D245" s="5" t="s">
        <v>40</v>
      </c>
      <c r="E245" s="16">
        <v>17980</v>
      </c>
      <c r="F245" s="5" t="s">
        <v>15</v>
      </c>
      <c r="G245" s="8">
        <f t="shared" si="3"/>
        <v>2</v>
      </c>
    </row>
    <row r="246" spans="1:7" x14ac:dyDescent="0.25">
      <c r="A246" s="7">
        <v>45443</v>
      </c>
      <c r="B246" s="5" t="s">
        <v>22</v>
      </c>
      <c r="C246" s="5" t="s">
        <v>23</v>
      </c>
      <c r="D246" s="5" t="s">
        <v>24</v>
      </c>
      <c r="E246" s="16">
        <v>37800</v>
      </c>
      <c r="F246" s="5" t="s">
        <v>15</v>
      </c>
      <c r="G246" s="8">
        <f t="shared" si="3"/>
        <v>2</v>
      </c>
    </row>
    <row r="247" spans="1:7" x14ac:dyDescent="0.25">
      <c r="A247" s="7">
        <v>45443</v>
      </c>
      <c r="B247" s="5" t="s">
        <v>22</v>
      </c>
      <c r="C247" s="5" t="s">
        <v>23</v>
      </c>
      <c r="D247" s="5" t="s">
        <v>24</v>
      </c>
      <c r="E247" s="16">
        <v>38500</v>
      </c>
      <c r="F247" s="5" t="s">
        <v>15</v>
      </c>
      <c r="G247" s="8">
        <f t="shared" si="3"/>
        <v>2</v>
      </c>
    </row>
    <row r="248" spans="1:7" x14ac:dyDescent="0.25">
      <c r="A248" s="7">
        <v>45443</v>
      </c>
      <c r="B248" s="5" t="s">
        <v>22</v>
      </c>
      <c r="C248" s="5" t="s">
        <v>23</v>
      </c>
      <c r="D248" s="5" t="s">
        <v>24</v>
      </c>
      <c r="E248" s="16">
        <v>37900</v>
      </c>
      <c r="F248" s="5" t="s">
        <v>15</v>
      </c>
      <c r="G248" s="8">
        <f t="shared" si="3"/>
        <v>2</v>
      </c>
    </row>
    <row r="249" spans="1:7" x14ac:dyDescent="0.25">
      <c r="A249" s="7">
        <v>45444</v>
      </c>
      <c r="B249" s="5" t="s">
        <v>22</v>
      </c>
      <c r="C249" s="5" t="s">
        <v>23</v>
      </c>
      <c r="D249" s="5" t="s">
        <v>24</v>
      </c>
      <c r="E249" s="16">
        <v>35400</v>
      </c>
      <c r="F249" s="5" t="s">
        <v>15</v>
      </c>
      <c r="G249" s="8">
        <f t="shared" si="3"/>
        <v>2</v>
      </c>
    </row>
    <row r="250" spans="1:7" x14ac:dyDescent="0.25">
      <c r="A250" s="7">
        <v>45444</v>
      </c>
      <c r="B250" s="5" t="s">
        <v>22</v>
      </c>
      <c r="C250" s="5" t="s">
        <v>39</v>
      </c>
      <c r="D250" s="5" t="s">
        <v>40</v>
      </c>
      <c r="E250" s="16">
        <v>18800</v>
      </c>
      <c r="F250" s="5" t="s">
        <v>15</v>
      </c>
      <c r="G250" s="8">
        <f t="shared" si="3"/>
        <v>2</v>
      </c>
    </row>
    <row r="251" spans="1:7" x14ac:dyDescent="0.25">
      <c r="A251" s="7">
        <v>45444</v>
      </c>
      <c r="B251" s="5" t="s">
        <v>22</v>
      </c>
      <c r="C251" s="5" t="s">
        <v>39</v>
      </c>
      <c r="D251" s="5" t="s">
        <v>40</v>
      </c>
      <c r="E251" s="16">
        <v>18490</v>
      </c>
      <c r="F251" s="5" t="s">
        <v>15</v>
      </c>
      <c r="G251" s="8">
        <f t="shared" si="3"/>
        <v>2</v>
      </c>
    </row>
    <row r="252" spans="1:7" x14ac:dyDescent="0.25">
      <c r="A252" s="7">
        <v>45444</v>
      </c>
      <c r="B252" s="5" t="s">
        <v>22</v>
      </c>
      <c r="C252" s="5" t="s">
        <v>39</v>
      </c>
      <c r="D252" s="5" t="s">
        <v>40</v>
      </c>
      <c r="E252" s="16">
        <v>19000</v>
      </c>
      <c r="F252" s="5" t="s">
        <v>15</v>
      </c>
      <c r="G252" s="8">
        <f t="shared" si="3"/>
        <v>2</v>
      </c>
    </row>
    <row r="253" spans="1:7" x14ac:dyDescent="0.25">
      <c r="A253" s="7">
        <v>45444</v>
      </c>
      <c r="B253" s="5" t="s">
        <v>22</v>
      </c>
      <c r="C253" s="5" t="s">
        <v>39</v>
      </c>
      <c r="D253" s="5" t="s">
        <v>40</v>
      </c>
      <c r="E253" s="16">
        <v>19500</v>
      </c>
      <c r="F253" s="5" t="s">
        <v>15</v>
      </c>
      <c r="G253" s="8">
        <f t="shared" si="3"/>
        <v>2</v>
      </c>
    </row>
    <row r="254" spans="1:7" x14ac:dyDescent="0.25">
      <c r="A254" s="7">
        <v>45444</v>
      </c>
      <c r="B254" s="5" t="s">
        <v>22</v>
      </c>
      <c r="C254" s="5" t="s">
        <v>39</v>
      </c>
      <c r="D254" s="5" t="s">
        <v>40</v>
      </c>
      <c r="E254" s="16">
        <v>19150</v>
      </c>
      <c r="F254" s="5" t="s">
        <v>15</v>
      </c>
      <c r="G254" s="8">
        <f t="shared" si="3"/>
        <v>2</v>
      </c>
    </row>
    <row r="255" spans="1:7" x14ac:dyDescent="0.25">
      <c r="A255" s="6">
        <v>45445</v>
      </c>
      <c r="B255" s="4" t="s">
        <v>22</v>
      </c>
      <c r="C255" s="4" t="s">
        <v>32</v>
      </c>
      <c r="D255" s="4" t="s">
        <v>33</v>
      </c>
      <c r="E255" s="17">
        <v>13393</v>
      </c>
      <c r="F255" s="4" t="s">
        <v>15</v>
      </c>
      <c r="G255" s="8">
        <f t="shared" si="3"/>
        <v>2</v>
      </c>
    </row>
    <row r="256" spans="1:7" x14ac:dyDescent="0.25">
      <c r="A256" s="7">
        <v>45445</v>
      </c>
      <c r="B256" s="5" t="s">
        <v>22</v>
      </c>
      <c r="C256" s="5" t="s">
        <v>39</v>
      </c>
      <c r="D256" s="5" t="s">
        <v>40</v>
      </c>
      <c r="E256" s="16">
        <v>19100</v>
      </c>
      <c r="F256" s="5" t="s">
        <v>15</v>
      </c>
      <c r="G256" s="8">
        <f t="shared" si="3"/>
        <v>2</v>
      </c>
    </row>
    <row r="257" spans="1:7" x14ac:dyDescent="0.25">
      <c r="A257" s="7">
        <v>45445</v>
      </c>
      <c r="B257" s="5" t="s">
        <v>22</v>
      </c>
      <c r="C257" s="5" t="s">
        <v>39</v>
      </c>
      <c r="D257" s="5" t="s">
        <v>40</v>
      </c>
      <c r="E257" s="16">
        <v>19300</v>
      </c>
      <c r="F257" s="5" t="s">
        <v>15</v>
      </c>
      <c r="G257" s="8">
        <f t="shared" si="3"/>
        <v>2</v>
      </c>
    </row>
    <row r="258" spans="1:7" x14ac:dyDescent="0.25">
      <c r="A258" s="7">
        <v>45445</v>
      </c>
      <c r="B258" s="5" t="s">
        <v>22</v>
      </c>
      <c r="C258" s="5" t="s">
        <v>39</v>
      </c>
      <c r="D258" s="5" t="s">
        <v>40</v>
      </c>
      <c r="E258" s="16">
        <v>18900</v>
      </c>
      <c r="F258" s="5" t="s">
        <v>15</v>
      </c>
      <c r="G258" s="8">
        <f t="shared" ref="G258:G321" si="4">INT((MONTH(A258)-1)/3)+1</f>
        <v>2</v>
      </c>
    </row>
    <row r="259" spans="1:7" x14ac:dyDescent="0.25">
      <c r="A259" s="6">
        <v>45446</v>
      </c>
      <c r="B259" s="4" t="s">
        <v>18</v>
      </c>
      <c r="C259" s="4" t="s">
        <v>47</v>
      </c>
      <c r="D259" s="4" t="s">
        <v>48</v>
      </c>
      <c r="E259" s="17">
        <v>31670</v>
      </c>
      <c r="F259" s="4" t="s">
        <v>15</v>
      </c>
      <c r="G259" s="8">
        <f t="shared" si="4"/>
        <v>2</v>
      </c>
    </row>
    <row r="260" spans="1:7" x14ac:dyDescent="0.25">
      <c r="A260" s="6">
        <v>45446</v>
      </c>
      <c r="B260" s="4" t="s">
        <v>22</v>
      </c>
      <c r="C260" s="4" t="s">
        <v>23</v>
      </c>
      <c r="D260" s="4" t="s">
        <v>24</v>
      </c>
      <c r="E260" s="17">
        <v>38295</v>
      </c>
      <c r="F260" s="4" t="s">
        <v>15</v>
      </c>
      <c r="G260" s="8">
        <f t="shared" si="4"/>
        <v>2</v>
      </c>
    </row>
    <row r="261" spans="1:7" x14ac:dyDescent="0.25">
      <c r="A261" s="7">
        <v>45446</v>
      </c>
      <c r="B261" s="5" t="s">
        <v>22</v>
      </c>
      <c r="C261" s="5" t="s">
        <v>39</v>
      </c>
      <c r="D261" s="5" t="s">
        <v>40</v>
      </c>
      <c r="E261" s="16">
        <v>19200</v>
      </c>
      <c r="F261" s="5" t="s">
        <v>15</v>
      </c>
      <c r="G261" s="8">
        <f t="shared" si="4"/>
        <v>2</v>
      </c>
    </row>
    <row r="262" spans="1:7" x14ac:dyDescent="0.25">
      <c r="A262" s="7">
        <v>45447</v>
      </c>
      <c r="B262" s="5" t="s">
        <v>18</v>
      </c>
      <c r="C262" s="5" t="s">
        <v>47</v>
      </c>
      <c r="D262" s="5" t="s">
        <v>48</v>
      </c>
      <c r="E262" s="16">
        <v>21500</v>
      </c>
      <c r="F262" s="5" t="s">
        <v>15</v>
      </c>
      <c r="G262" s="8">
        <f t="shared" si="4"/>
        <v>2</v>
      </c>
    </row>
    <row r="263" spans="1:7" x14ac:dyDescent="0.25">
      <c r="A263" s="6">
        <v>45450</v>
      </c>
      <c r="B263" s="4" t="s">
        <v>25</v>
      </c>
      <c r="C263" s="4" t="s">
        <v>28</v>
      </c>
      <c r="D263" s="4" t="s">
        <v>29</v>
      </c>
      <c r="E263" s="17">
        <v>17602</v>
      </c>
      <c r="F263" s="4" t="s">
        <v>15</v>
      </c>
      <c r="G263" s="8">
        <f t="shared" si="4"/>
        <v>2</v>
      </c>
    </row>
    <row r="264" spans="1:7" x14ac:dyDescent="0.25">
      <c r="A264" s="7">
        <v>45455</v>
      </c>
      <c r="B264" s="5" t="s">
        <v>22</v>
      </c>
      <c r="C264" s="5" t="s">
        <v>23</v>
      </c>
      <c r="D264" s="5" t="s">
        <v>24</v>
      </c>
      <c r="E264" s="16">
        <v>37780</v>
      </c>
      <c r="F264" s="5" t="s">
        <v>15</v>
      </c>
      <c r="G264" s="8">
        <f t="shared" si="4"/>
        <v>2</v>
      </c>
    </row>
    <row r="265" spans="1:7" x14ac:dyDescent="0.25">
      <c r="A265" s="7">
        <v>45458</v>
      </c>
      <c r="B265" s="5" t="s">
        <v>22</v>
      </c>
      <c r="C265" s="5" t="s">
        <v>23</v>
      </c>
      <c r="D265" s="5" t="s">
        <v>24</v>
      </c>
      <c r="E265" s="16">
        <v>33890</v>
      </c>
      <c r="F265" s="5" t="s">
        <v>15</v>
      </c>
      <c r="G265" s="8">
        <f t="shared" si="4"/>
        <v>2</v>
      </c>
    </row>
    <row r="266" spans="1:7" x14ac:dyDescent="0.25">
      <c r="A266" s="7">
        <v>45458</v>
      </c>
      <c r="B266" s="5" t="s">
        <v>22</v>
      </c>
      <c r="C266" s="5" t="s">
        <v>23</v>
      </c>
      <c r="D266" s="5" t="s">
        <v>24</v>
      </c>
      <c r="E266" s="16">
        <v>31900</v>
      </c>
      <c r="F266" s="5" t="s">
        <v>15</v>
      </c>
      <c r="G266" s="8">
        <f t="shared" si="4"/>
        <v>2</v>
      </c>
    </row>
    <row r="267" spans="1:7" x14ac:dyDescent="0.25">
      <c r="A267" s="7">
        <v>45459</v>
      </c>
      <c r="B267" s="5" t="s">
        <v>22</v>
      </c>
      <c r="C267" s="5" t="s">
        <v>23</v>
      </c>
      <c r="D267" s="5" t="s">
        <v>24</v>
      </c>
      <c r="E267" s="16">
        <v>28940</v>
      </c>
      <c r="F267" s="5" t="s">
        <v>15</v>
      </c>
      <c r="G267" s="8">
        <f t="shared" si="4"/>
        <v>2</v>
      </c>
    </row>
    <row r="268" spans="1:7" x14ac:dyDescent="0.25">
      <c r="A268" s="7">
        <v>45459</v>
      </c>
      <c r="B268" s="5" t="s">
        <v>22</v>
      </c>
      <c r="C268" s="5" t="s">
        <v>23</v>
      </c>
      <c r="D268" s="5" t="s">
        <v>24</v>
      </c>
      <c r="E268" s="16">
        <v>34400</v>
      </c>
      <c r="F268" s="5" t="s">
        <v>15</v>
      </c>
      <c r="G268" s="8">
        <f t="shared" si="4"/>
        <v>2</v>
      </c>
    </row>
    <row r="269" spans="1:7" x14ac:dyDescent="0.25">
      <c r="A269" s="6">
        <v>45461</v>
      </c>
      <c r="B269" s="4" t="s">
        <v>25</v>
      </c>
      <c r="C269" s="4" t="s">
        <v>28</v>
      </c>
      <c r="D269" s="4" t="s">
        <v>29</v>
      </c>
      <c r="E269" s="17">
        <v>15334</v>
      </c>
      <c r="F269" s="4" t="s">
        <v>15</v>
      </c>
      <c r="G269" s="8">
        <f t="shared" si="4"/>
        <v>2</v>
      </c>
    </row>
    <row r="270" spans="1:7" x14ac:dyDescent="0.25">
      <c r="A270" s="7">
        <v>45461</v>
      </c>
      <c r="B270" s="5" t="s">
        <v>22</v>
      </c>
      <c r="C270" s="5" t="s">
        <v>23</v>
      </c>
      <c r="D270" s="5" t="s">
        <v>24</v>
      </c>
      <c r="E270" s="16">
        <v>32400</v>
      </c>
      <c r="F270" s="5" t="s">
        <v>15</v>
      </c>
      <c r="G270" s="8">
        <f t="shared" si="4"/>
        <v>2</v>
      </c>
    </row>
    <row r="271" spans="1:7" x14ac:dyDescent="0.25">
      <c r="A271" s="7">
        <v>45462</v>
      </c>
      <c r="B271" s="5" t="s">
        <v>22</v>
      </c>
      <c r="C271" s="5" t="s">
        <v>23</v>
      </c>
      <c r="D271" s="5" t="s">
        <v>24</v>
      </c>
      <c r="E271" s="16">
        <v>31000</v>
      </c>
      <c r="F271" s="5" t="s">
        <v>15</v>
      </c>
      <c r="G271" s="8">
        <f t="shared" si="4"/>
        <v>2</v>
      </c>
    </row>
    <row r="272" spans="1:7" x14ac:dyDescent="0.25">
      <c r="A272" s="7">
        <v>45464</v>
      </c>
      <c r="B272" s="5" t="s">
        <v>18</v>
      </c>
      <c r="C272" s="5" t="s">
        <v>61</v>
      </c>
      <c r="D272" s="5" t="s">
        <v>62</v>
      </c>
      <c r="E272" s="16">
        <v>10890</v>
      </c>
      <c r="F272" s="5" t="s">
        <v>15</v>
      </c>
      <c r="G272" s="8">
        <f t="shared" si="4"/>
        <v>2</v>
      </c>
    </row>
    <row r="273" spans="1:7" x14ac:dyDescent="0.25">
      <c r="A273" s="7">
        <v>45465</v>
      </c>
      <c r="B273" s="5" t="s">
        <v>18</v>
      </c>
      <c r="C273" s="5" t="s">
        <v>61</v>
      </c>
      <c r="D273" s="5" t="s">
        <v>62</v>
      </c>
      <c r="E273" s="16">
        <v>9740</v>
      </c>
      <c r="F273" s="5" t="s">
        <v>15</v>
      </c>
      <c r="G273" s="8">
        <f t="shared" si="4"/>
        <v>2</v>
      </c>
    </row>
    <row r="274" spans="1:7" x14ac:dyDescent="0.25">
      <c r="A274" s="7">
        <v>45466</v>
      </c>
      <c r="B274" s="5" t="s">
        <v>18</v>
      </c>
      <c r="C274" s="5" t="s">
        <v>61</v>
      </c>
      <c r="D274" s="5" t="s">
        <v>62</v>
      </c>
      <c r="E274" s="16">
        <v>9900</v>
      </c>
      <c r="F274" s="5" t="s">
        <v>15</v>
      </c>
      <c r="G274" s="8">
        <f t="shared" si="4"/>
        <v>2</v>
      </c>
    </row>
    <row r="275" spans="1:7" x14ac:dyDescent="0.25">
      <c r="A275" s="7">
        <v>45468</v>
      </c>
      <c r="B275" s="5" t="s">
        <v>18</v>
      </c>
      <c r="C275" s="5" t="s">
        <v>61</v>
      </c>
      <c r="D275" s="5" t="s">
        <v>62</v>
      </c>
      <c r="E275" s="16">
        <v>10340</v>
      </c>
      <c r="F275" s="5" t="s">
        <v>15</v>
      </c>
      <c r="G275" s="8">
        <f t="shared" si="4"/>
        <v>2</v>
      </c>
    </row>
    <row r="276" spans="1:7" x14ac:dyDescent="0.25">
      <c r="A276" s="7">
        <v>45468</v>
      </c>
      <c r="B276" s="5" t="s">
        <v>18</v>
      </c>
      <c r="C276" s="5" t="s">
        <v>61</v>
      </c>
      <c r="D276" s="5" t="s">
        <v>62</v>
      </c>
      <c r="E276" s="16">
        <v>11230</v>
      </c>
      <c r="F276" s="5" t="s">
        <v>15</v>
      </c>
      <c r="G276" s="8">
        <f t="shared" si="4"/>
        <v>2</v>
      </c>
    </row>
    <row r="277" spans="1:7" x14ac:dyDescent="0.25">
      <c r="A277" s="7">
        <v>45469</v>
      </c>
      <c r="B277" s="5" t="s">
        <v>18</v>
      </c>
      <c r="C277" s="5" t="s">
        <v>47</v>
      </c>
      <c r="D277" s="5" t="s">
        <v>48</v>
      </c>
      <c r="E277" s="16">
        <v>24470</v>
      </c>
      <c r="F277" s="5" t="s">
        <v>15</v>
      </c>
      <c r="G277" s="8">
        <f t="shared" si="4"/>
        <v>2</v>
      </c>
    </row>
    <row r="278" spans="1:7" x14ac:dyDescent="0.25">
      <c r="A278" s="7">
        <v>45469</v>
      </c>
      <c r="B278" s="5" t="s">
        <v>18</v>
      </c>
      <c r="C278" s="5" t="s">
        <v>61</v>
      </c>
      <c r="D278" s="5" t="s">
        <v>62</v>
      </c>
      <c r="E278" s="16">
        <v>9600</v>
      </c>
      <c r="F278" s="5" t="s">
        <v>15</v>
      </c>
      <c r="G278" s="8">
        <f t="shared" si="4"/>
        <v>2</v>
      </c>
    </row>
    <row r="279" spans="1:7" x14ac:dyDescent="0.25">
      <c r="A279" s="7">
        <v>45469</v>
      </c>
      <c r="B279" s="5" t="s">
        <v>18</v>
      </c>
      <c r="C279" s="5" t="s">
        <v>61</v>
      </c>
      <c r="D279" s="5" t="s">
        <v>62</v>
      </c>
      <c r="E279" s="16">
        <v>10720</v>
      </c>
      <c r="F279" s="5" t="s">
        <v>15</v>
      </c>
      <c r="G279" s="8">
        <f t="shared" si="4"/>
        <v>2</v>
      </c>
    </row>
    <row r="280" spans="1:7" x14ac:dyDescent="0.25">
      <c r="A280" s="7">
        <v>45470</v>
      </c>
      <c r="B280" s="5" t="s">
        <v>18</v>
      </c>
      <c r="C280" s="5" t="s">
        <v>61</v>
      </c>
      <c r="D280" s="5" t="s">
        <v>62</v>
      </c>
      <c r="E280" s="16">
        <v>10250</v>
      </c>
      <c r="F280" s="5" t="s">
        <v>15</v>
      </c>
      <c r="G280" s="8">
        <f t="shared" si="4"/>
        <v>2</v>
      </c>
    </row>
    <row r="281" spans="1:7" x14ac:dyDescent="0.25">
      <c r="A281" s="7">
        <v>45471</v>
      </c>
      <c r="B281" s="5" t="s">
        <v>18</v>
      </c>
      <c r="C281" s="5" t="s">
        <v>61</v>
      </c>
      <c r="D281" s="5" t="s">
        <v>62</v>
      </c>
      <c r="E281" s="16">
        <v>10860</v>
      </c>
      <c r="F281" s="5" t="s">
        <v>15</v>
      </c>
      <c r="G281" s="8">
        <f t="shared" si="4"/>
        <v>2</v>
      </c>
    </row>
    <row r="282" spans="1:7" x14ac:dyDescent="0.25">
      <c r="A282" s="6">
        <v>45472</v>
      </c>
      <c r="B282" s="4" t="s">
        <v>25</v>
      </c>
      <c r="C282" s="4" t="s">
        <v>41</v>
      </c>
      <c r="D282" s="4" t="s">
        <v>42</v>
      </c>
      <c r="E282" s="17">
        <v>15109</v>
      </c>
      <c r="F282" s="4" t="s">
        <v>21</v>
      </c>
      <c r="G282" s="8">
        <f t="shared" si="4"/>
        <v>2</v>
      </c>
    </row>
    <row r="283" spans="1:7" x14ac:dyDescent="0.25">
      <c r="A283" s="6">
        <v>45472</v>
      </c>
      <c r="B283" s="4" t="s">
        <v>18</v>
      </c>
      <c r="C283" s="4" t="s">
        <v>47</v>
      </c>
      <c r="D283" s="4" t="s">
        <v>48</v>
      </c>
      <c r="E283" s="17">
        <v>23750</v>
      </c>
      <c r="F283" s="4" t="s">
        <v>15</v>
      </c>
      <c r="G283" s="8">
        <f t="shared" si="4"/>
        <v>2</v>
      </c>
    </row>
    <row r="284" spans="1:7" x14ac:dyDescent="0.25">
      <c r="A284" s="7">
        <v>45472</v>
      </c>
      <c r="B284" s="5" t="s">
        <v>18</v>
      </c>
      <c r="C284" s="5" t="s">
        <v>61</v>
      </c>
      <c r="D284" s="5" t="s">
        <v>62</v>
      </c>
      <c r="E284" s="16">
        <v>10990</v>
      </c>
      <c r="F284" s="5" t="s">
        <v>15</v>
      </c>
      <c r="G284" s="8">
        <f t="shared" si="4"/>
        <v>2</v>
      </c>
    </row>
    <row r="285" spans="1:7" x14ac:dyDescent="0.25">
      <c r="A285" s="7">
        <v>45473</v>
      </c>
      <c r="B285" s="5" t="s">
        <v>18</v>
      </c>
      <c r="C285" s="5" t="s">
        <v>61</v>
      </c>
      <c r="D285" s="5" t="s">
        <v>62</v>
      </c>
      <c r="E285" s="16">
        <v>11200</v>
      </c>
      <c r="F285" s="5" t="s">
        <v>15</v>
      </c>
      <c r="G285" s="8">
        <f t="shared" si="4"/>
        <v>2</v>
      </c>
    </row>
    <row r="286" spans="1:7" x14ac:dyDescent="0.25">
      <c r="A286" s="7">
        <v>45474</v>
      </c>
      <c r="B286" s="5" t="s">
        <v>18</v>
      </c>
      <c r="C286" s="5" t="s">
        <v>61</v>
      </c>
      <c r="D286" s="5" t="s">
        <v>62</v>
      </c>
      <c r="E286" s="16">
        <v>11020</v>
      </c>
      <c r="F286" s="5" t="s">
        <v>15</v>
      </c>
      <c r="G286" s="8">
        <f t="shared" si="4"/>
        <v>3</v>
      </c>
    </row>
    <row r="287" spans="1:7" x14ac:dyDescent="0.25">
      <c r="A287" s="7">
        <v>45474</v>
      </c>
      <c r="B287" s="5" t="s">
        <v>18</v>
      </c>
      <c r="C287" s="5" t="s">
        <v>61</v>
      </c>
      <c r="D287" s="5" t="s">
        <v>62</v>
      </c>
      <c r="E287" s="16">
        <v>10650</v>
      </c>
      <c r="F287" s="5" t="s">
        <v>15</v>
      </c>
      <c r="G287" s="8">
        <f t="shared" si="4"/>
        <v>3</v>
      </c>
    </row>
    <row r="288" spans="1:7" x14ac:dyDescent="0.25">
      <c r="A288" s="7">
        <v>45474</v>
      </c>
      <c r="B288" s="5" t="s">
        <v>18</v>
      </c>
      <c r="C288" s="5" t="s">
        <v>61</v>
      </c>
      <c r="D288" s="5" t="s">
        <v>62</v>
      </c>
      <c r="E288" s="16">
        <v>11350</v>
      </c>
      <c r="F288" s="5" t="s">
        <v>15</v>
      </c>
      <c r="G288" s="8">
        <f t="shared" si="4"/>
        <v>3</v>
      </c>
    </row>
    <row r="289" spans="1:7" x14ac:dyDescent="0.25">
      <c r="A289" s="7">
        <v>45474</v>
      </c>
      <c r="B289" s="5" t="s">
        <v>18</v>
      </c>
      <c r="C289" s="5" t="s">
        <v>61</v>
      </c>
      <c r="D289" s="5" t="s">
        <v>62</v>
      </c>
      <c r="E289" s="16">
        <v>11100</v>
      </c>
      <c r="F289" s="5" t="s">
        <v>15</v>
      </c>
      <c r="G289" s="8">
        <f t="shared" si="4"/>
        <v>3</v>
      </c>
    </row>
    <row r="290" spans="1:7" x14ac:dyDescent="0.25">
      <c r="A290" s="7">
        <v>45474</v>
      </c>
      <c r="B290" s="5" t="s">
        <v>18</v>
      </c>
      <c r="C290" s="5" t="s">
        <v>61</v>
      </c>
      <c r="D290" s="5" t="s">
        <v>62</v>
      </c>
      <c r="E290" s="16">
        <v>11700</v>
      </c>
      <c r="F290" s="5" t="s">
        <v>15</v>
      </c>
      <c r="G290" s="8">
        <f t="shared" si="4"/>
        <v>3</v>
      </c>
    </row>
    <row r="291" spans="1:7" x14ac:dyDescent="0.25">
      <c r="A291" s="7">
        <v>45475</v>
      </c>
      <c r="B291" s="5" t="s">
        <v>18</v>
      </c>
      <c r="C291" s="5" t="s">
        <v>61</v>
      </c>
      <c r="D291" s="5" t="s">
        <v>62</v>
      </c>
      <c r="E291" s="16">
        <v>10970</v>
      </c>
      <c r="F291" s="5" t="s">
        <v>15</v>
      </c>
      <c r="G291" s="8">
        <f t="shared" si="4"/>
        <v>3</v>
      </c>
    </row>
    <row r="292" spans="1:7" x14ac:dyDescent="0.25">
      <c r="A292" s="7">
        <v>45476</v>
      </c>
      <c r="B292" s="5" t="s">
        <v>18</v>
      </c>
      <c r="C292" s="5" t="s">
        <v>19</v>
      </c>
      <c r="D292" s="5" t="s">
        <v>20</v>
      </c>
      <c r="E292" s="16">
        <v>126544</v>
      </c>
      <c r="F292" s="5" t="s">
        <v>21</v>
      </c>
      <c r="G292" s="8">
        <f t="shared" si="4"/>
        <v>3</v>
      </c>
    </row>
    <row r="293" spans="1:7" x14ac:dyDescent="0.25">
      <c r="A293" s="7">
        <v>45476</v>
      </c>
      <c r="B293" s="5" t="s">
        <v>18</v>
      </c>
      <c r="C293" s="5" t="s">
        <v>61</v>
      </c>
      <c r="D293" s="5" t="s">
        <v>62</v>
      </c>
      <c r="E293" s="16">
        <v>10490</v>
      </c>
      <c r="F293" s="5" t="s">
        <v>15</v>
      </c>
      <c r="G293" s="8">
        <f t="shared" si="4"/>
        <v>3</v>
      </c>
    </row>
    <row r="294" spans="1:7" x14ac:dyDescent="0.25">
      <c r="A294" s="7">
        <v>45476</v>
      </c>
      <c r="B294" s="5" t="s">
        <v>18</v>
      </c>
      <c r="C294" s="5" t="s">
        <v>61</v>
      </c>
      <c r="D294" s="5" t="s">
        <v>62</v>
      </c>
      <c r="E294" s="16">
        <v>11500</v>
      </c>
      <c r="F294" s="5" t="s">
        <v>15</v>
      </c>
      <c r="G294" s="8">
        <f t="shared" si="4"/>
        <v>3</v>
      </c>
    </row>
    <row r="295" spans="1:7" x14ac:dyDescent="0.25">
      <c r="A295" s="7">
        <v>45476</v>
      </c>
      <c r="B295" s="5" t="s">
        <v>18</v>
      </c>
      <c r="C295" s="5" t="s">
        <v>61</v>
      </c>
      <c r="D295" s="5" t="s">
        <v>62</v>
      </c>
      <c r="E295" s="16">
        <v>11400</v>
      </c>
      <c r="F295" s="5" t="s">
        <v>15</v>
      </c>
      <c r="G295" s="8">
        <f t="shared" si="4"/>
        <v>3</v>
      </c>
    </row>
    <row r="296" spans="1:7" x14ac:dyDescent="0.25">
      <c r="A296" s="7">
        <v>45476</v>
      </c>
      <c r="B296" s="5" t="s">
        <v>18</v>
      </c>
      <c r="C296" s="5" t="s">
        <v>61</v>
      </c>
      <c r="D296" s="5" t="s">
        <v>62</v>
      </c>
      <c r="E296" s="16">
        <v>11200</v>
      </c>
      <c r="F296" s="5" t="s">
        <v>15</v>
      </c>
      <c r="G296" s="8">
        <f t="shared" si="4"/>
        <v>3</v>
      </c>
    </row>
    <row r="297" spans="1:7" x14ac:dyDescent="0.25">
      <c r="A297" s="7">
        <v>45477</v>
      </c>
      <c r="B297" s="5" t="s">
        <v>18</v>
      </c>
      <c r="C297" s="5" t="s">
        <v>61</v>
      </c>
      <c r="D297" s="5" t="s">
        <v>62</v>
      </c>
      <c r="E297" s="16">
        <v>11600</v>
      </c>
      <c r="F297" s="5" t="s">
        <v>15</v>
      </c>
      <c r="G297" s="8">
        <f t="shared" si="4"/>
        <v>3</v>
      </c>
    </row>
    <row r="298" spans="1:7" x14ac:dyDescent="0.25">
      <c r="A298" s="7">
        <v>45479</v>
      </c>
      <c r="B298" s="5" t="s">
        <v>12</v>
      </c>
      <c r="C298" s="5" t="s">
        <v>59</v>
      </c>
      <c r="D298" s="5" t="s">
        <v>60</v>
      </c>
      <c r="E298" s="16">
        <v>45100</v>
      </c>
      <c r="F298" s="5" t="s">
        <v>15</v>
      </c>
      <c r="G298" s="8">
        <f t="shared" si="4"/>
        <v>3</v>
      </c>
    </row>
    <row r="299" spans="1:7" x14ac:dyDescent="0.25">
      <c r="A299" s="7">
        <v>45481</v>
      </c>
      <c r="B299" s="5" t="s">
        <v>12</v>
      </c>
      <c r="C299" s="5" t="s">
        <v>59</v>
      </c>
      <c r="D299" s="5" t="s">
        <v>60</v>
      </c>
      <c r="E299" s="16">
        <v>46800</v>
      </c>
      <c r="F299" s="5" t="s">
        <v>15</v>
      </c>
      <c r="G299" s="8">
        <f t="shared" si="4"/>
        <v>3</v>
      </c>
    </row>
    <row r="300" spans="1:7" x14ac:dyDescent="0.25">
      <c r="A300" s="7">
        <v>45482</v>
      </c>
      <c r="B300" s="5" t="s">
        <v>12</v>
      </c>
      <c r="C300" s="5" t="s">
        <v>59</v>
      </c>
      <c r="D300" s="5" t="s">
        <v>60</v>
      </c>
      <c r="E300" s="16">
        <v>49600</v>
      </c>
      <c r="F300" s="5" t="s">
        <v>15</v>
      </c>
      <c r="G300" s="8">
        <f t="shared" si="4"/>
        <v>3</v>
      </c>
    </row>
    <row r="301" spans="1:7" x14ac:dyDescent="0.25">
      <c r="A301" s="7">
        <v>45482</v>
      </c>
      <c r="B301" s="5" t="s">
        <v>12</v>
      </c>
      <c r="C301" s="5" t="s">
        <v>59</v>
      </c>
      <c r="D301" s="5" t="s">
        <v>60</v>
      </c>
      <c r="E301" s="16">
        <v>47500</v>
      </c>
      <c r="F301" s="5" t="s">
        <v>15</v>
      </c>
      <c r="G301" s="8">
        <f t="shared" si="4"/>
        <v>3</v>
      </c>
    </row>
    <row r="302" spans="1:7" x14ac:dyDescent="0.25">
      <c r="A302" s="7">
        <v>45483</v>
      </c>
      <c r="B302" s="5" t="s">
        <v>12</v>
      </c>
      <c r="C302" s="5" t="s">
        <v>59</v>
      </c>
      <c r="D302" s="5" t="s">
        <v>60</v>
      </c>
      <c r="E302" s="16">
        <v>48200</v>
      </c>
      <c r="F302" s="5" t="s">
        <v>15</v>
      </c>
      <c r="G302" s="8">
        <f t="shared" si="4"/>
        <v>3</v>
      </c>
    </row>
    <row r="303" spans="1:7" x14ac:dyDescent="0.25">
      <c r="A303" s="6">
        <v>45484</v>
      </c>
      <c r="B303" s="4" t="s">
        <v>34</v>
      </c>
      <c r="C303" s="4" t="s">
        <v>35</v>
      </c>
      <c r="D303" s="4" t="s">
        <v>36</v>
      </c>
      <c r="E303" s="17">
        <v>43900</v>
      </c>
      <c r="F303" s="4" t="s">
        <v>15</v>
      </c>
      <c r="G303" s="8">
        <f t="shared" si="4"/>
        <v>3</v>
      </c>
    </row>
    <row r="304" spans="1:7" x14ac:dyDescent="0.25">
      <c r="A304" s="7">
        <v>45484</v>
      </c>
      <c r="B304" s="5" t="s">
        <v>12</v>
      </c>
      <c r="C304" s="5" t="s">
        <v>59</v>
      </c>
      <c r="D304" s="5" t="s">
        <v>60</v>
      </c>
      <c r="E304" s="16">
        <v>47900</v>
      </c>
      <c r="F304" s="5" t="s">
        <v>15</v>
      </c>
      <c r="G304" s="8">
        <f t="shared" si="4"/>
        <v>3</v>
      </c>
    </row>
    <row r="305" spans="1:7" x14ac:dyDescent="0.25">
      <c r="A305" s="7">
        <v>45484</v>
      </c>
      <c r="B305" s="5" t="s">
        <v>12</v>
      </c>
      <c r="C305" s="5" t="s">
        <v>59</v>
      </c>
      <c r="D305" s="5" t="s">
        <v>60</v>
      </c>
      <c r="E305" s="16">
        <v>50300</v>
      </c>
      <c r="F305" s="5" t="s">
        <v>15</v>
      </c>
      <c r="G305" s="8">
        <f t="shared" si="4"/>
        <v>3</v>
      </c>
    </row>
    <row r="306" spans="1:7" x14ac:dyDescent="0.25">
      <c r="A306" s="7">
        <v>45485</v>
      </c>
      <c r="B306" s="5" t="s">
        <v>12</v>
      </c>
      <c r="C306" s="5" t="s">
        <v>59</v>
      </c>
      <c r="D306" s="5" t="s">
        <v>60</v>
      </c>
      <c r="E306" s="16">
        <v>50400</v>
      </c>
      <c r="F306" s="5" t="s">
        <v>15</v>
      </c>
      <c r="G306" s="8">
        <f t="shared" si="4"/>
        <v>3</v>
      </c>
    </row>
    <row r="307" spans="1:7" x14ac:dyDescent="0.25">
      <c r="A307" s="6">
        <v>45486</v>
      </c>
      <c r="B307" s="4" t="s">
        <v>12</v>
      </c>
      <c r="C307" s="4" t="s">
        <v>13</v>
      </c>
      <c r="D307" s="4" t="s">
        <v>14</v>
      </c>
      <c r="E307" s="17">
        <v>29516</v>
      </c>
      <c r="F307" s="4" t="s">
        <v>15</v>
      </c>
      <c r="G307" s="8">
        <f t="shared" si="4"/>
        <v>3</v>
      </c>
    </row>
    <row r="308" spans="1:7" x14ac:dyDescent="0.25">
      <c r="A308" s="7">
        <v>45486</v>
      </c>
      <c r="B308" s="5" t="s">
        <v>12</v>
      </c>
      <c r="C308" s="5" t="s">
        <v>59</v>
      </c>
      <c r="D308" s="5" t="s">
        <v>60</v>
      </c>
      <c r="E308" s="16">
        <v>48900</v>
      </c>
      <c r="F308" s="5" t="s">
        <v>15</v>
      </c>
      <c r="G308" s="8">
        <f t="shared" si="4"/>
        <v>3</v>
      </c>
    </row>
    <row r="309" spans="1:7" x14ac:dyDescent="0.25">
      <c r="A309" s="7">
        <v>45486</v>
      </c>
      <c r="B309" s="5" t="s">
        <v>12</v>
      </c>
      <c r="C309" s="5" t="s">
        <v>59</v>
      </c>
      <c r="D309" s="5" t="s">
        <v>60</v>
      </c>
      <c r="E309" s="16">
        <v>49100</v>
      </c>
      <c r="F309" s="5" t="s">
        <v>15</v>
      </c>
      <c r="G309" s="8">
        <f t="shared" si="4"/>
        <v>3</v>
      </c>
    </row>
    <row r="310" spans="1:7" x14ac:dyDescent="0.25">
      <c r="A310" s="7">
        <v>45487</v>
      </c>
      <c r="B310" s="5" t="s">
        <v>18</v>
      </c>
      <c r="C310" s="5" t="s">
        <v>61</v>
      </c>
      <c r="D310" s="5" t="s">
        <v>62</v>
      </c>
      <c r="E310" s="16">
        <v>10580</v>
      </c>
      <c r="F310" s="5" t="s">
        <v>15</v>
      </c>
      <c r="G310" s="8">
        <f t="shared" si="4"/>
        <v>3</v>
      </c>
    </row>
    <row r="311" spans="1:7" x14ac:dyDescent="0.25">
      <c r="A311" s="7">
        <v>45487</v>
      </c>
      <c r="B311" s="5" t="s">
        <v>12</v>
      </c>
      <c r="C311" s="5" t="s">
        <v>59</v>
      </c>
      <c r="D311" s="5" t="s">
        <v>60</v>
      </c>
      <c r="E311" s="16">
        <v>51000</v>
      </c>
      <c r="F311" s="5" t="s">
        <v>15</v>
      </c>
      <c r="G311" s="8">
        <f t="shared" si="4"/>
        <v>3</v>
      </c>
    </row>
    <row r="312" spans="1:7" x14ac:dyDescent="0.25">
      <c r="A312" s="7">
        <v>45487</v>
      </c>
      <c r="B312" s="5" t="s">
        <v>12</v>
      </c>
      <c r="C312" s="5" t="s">
        <v>59</v>
      </c>
      <c r="D312" s="5" t="s">
        <v>60</v>
      </c>
      <c r="E312" s="16">
        <v>51800</v>
      </c>
      <c r="F312" s="5" t="s">
        <v>15</v>
      </c>
      <c r="G312" s="8">
        <f t="shared" si="4"/>
        <v>3</v>
      </c>
    </row>
    <row r="313" spans="1:7" x14ac:dyDescent="0.25">
      <c r="A313" s="6">
        <v>45488</v>
      </c>
      <c r="B313" s="4" t="s">
        <v>25</v>
      </c>
      <c r="C313" s="4" t="s">
        <v>26</v>
      </c>
      <c r="D313" s="4" t="s">
        <v>27</v>
      </c>
      <c r="E313" s="17">
        <v>8071</v>
      </c>
      <c r="F313" s="4" t="s">
        <v>15</v>
      </c>
      <c r="G313" s="8">
        <f t="shared" si="4"/>
        <v>3</v>
      </c>
    </row>
    <row r="314" spans="1:7" x14ac:dyDescent="0.25">
      <c r="A314" s="7">
        <v>45488</v>
      </c>
      <c r="B314" s="5" t="s">
        <v>12</v>
      </c>
      <c r="C314" s="5" t="s">
        <v>59</v>
      </c>
      <c r="D314" s="5" t="s">
        <v>60</v>
      </c>
      <c r="E314" s="16">
        <v>49200</v>
      </c>
      <c r="F314" s="5" t="s">
        <v>15</v>
      </c>
      <c r="G314" s="8">
        <f t="shared" si="4"/>
        <v>3</v>
      </c>
    </row>
    <row r="315" spans="1:7" x14ac:dyDescent="0.25">
      <c r="A315" s="7">
        <v>45488</v>
      </c>
      <c r="B315" s="5" t="s">
        <v>12</v>
      </c>
      <c r="C315" s="5" t="s">
        <v>59</v>
      </c>
      <c r="D315" s="5" t="s">
        <v>60</v>
      </c>
      <c r="E315" s="16">
        <v>49400</v>
      </c>
      <c r="F315" s="5" t="s">
        <v>15</v>
      </c>
      <c r="G315" s="8">
        <f t="shared" si="4"/>
        <v>3</v>
      </c>
    </row>
    <row r="316" spans="1:7" x14ac:dyDescent="0.25">
      <c r="A316" s="7">
        <v>45488</v>
      </c>
      <c r="B316" s="5" t="s">
        <v>12</v>
      </c>
      <c r="C316" s="5" t="s">
        <v>59</v>
      </c>
      <c r="D316" s="5" t="s">
        <v>60</v>
      </c>
      <c r="E316" s="16">
        <v>51100</v>
      </c>
      <c r="F316" s="5" t="s">
        <v>15</v>
      </c>
      <c r="G316" s="8">
        <f t="shared" si="4"/>
        <v>3</v>
      </c>
    </row>
    <row r="317" spans="1:7" x14ac:dyDescent="0.25">
      <c r="A317" s="7">
        <v>45489</v>
      </c>
      <c r="B317" s="5" t="s">
        <v>12</v>
      </c>
      <c r="C317" s="5" t="s">
        <v>59</v>
      </c>
      <c r="D317" s="5" t="s">
        <v>60</v>
      </c>
      <c r="E317" s="16">
        <v>48500</v>
      </c>
      <c r="F317" s="5" t="s">
        <v>15</v>
      </c>
      <c r="G317" s="8">
        <f t="shared" si="4"/>
        <v>3</v>
      </c>
    </row>
    <row r="318" spans="1:7" x14ac:dyDescent="0.25">
      <c r="A318" s="7">
        <v>45489</v>
      </c>
      <c r="B318" s="5" t="s">
        <v>12</v>
      </c>
      <c r="C318" s="5" t="s">
        <v>59</v>
      </c>
      <c r="D318" s="5" t="s">
        <v>60</v>
      </c>
      <c r="E318" s="16">
        <v>51000</v>
      </c>
      <c r="F318" s="5" t="s">
        <v>15</v>
      </c>
      <c r="G318" s="8">
        <f t="shared" si="4"/>
        <v>3</v>
      </c>
    </row>
    <row r="319" spans="1:7" x14ac:dyDescent="0.25">
      <c r="A319" s="7">
        <v>45489</v>
      </c>
      <c r="B319" s="5" t="s">
        <v>12</v>
      </c>
      <c r="C319" s="5" t="s">
        <v>59</v>
      </c>
      <c r="D319" s="5" t="s">
        <v>60</v>
      </c>
      <c r="E319" s="16">
        <v>50700</v>
      </c>
      <c r="F319" s="5" t="s">
        <v>15</v>
      </c>
      <c r="G319" s="8">
        <f t="shared" si="4"/>
        <v>3</v>
      </c>
    </row>
    <row r="320" spans="1:7" x14ac:dyDescent="0.25">
      <c r="A320" s="7">
        <v>45489</v>
      </c>
      <c r="B320" s="5" t="s">
        <v>12</v>
      </c>
      <c r="C320" s="5" t="s">
        <v>59</v>
      </c>
      <c r="D320" s="5" t="s">
        <v>60</v>
      </c>
      <c r="E320" s="16">
        <v>49500</v>
      </c>
      <c r="F320" s="5" t="s">
        <v>15</v>
      </c>
      <c r="G320" s="8">
        <f t="shared" si="4"/>
        <v>3</v>
      </c>
    </row>
    <row r="321" spans="1:7" x14ac:dyDescent="0.25">
      <c r="A321" s="7">
        <v>45490</v>
      </c>
      <c r="B321" s="5" t="s">
        <v>18</v>
      </c>
      <c r="C321" s="5" t="s">
        <v>61</v>
      </c>
      <c r="D321" s="5" t="s">
        <v>62</v>
      </c>
      <c r="E321" s="16">
        <v>11150</v>
      </c>
      <c r="F321" s="5" t="s">
        <v>15</v>
      </c>
      <c r="G321" s="8">
        <f t="shared" si="4"/>
        <v>3</v>
      </c>
    </row>
    <row r="322" spans="1:7" x14ac:dyDescent="0.25">
      <c r="A322" s="7">
        <v>45490</v>
      </c>
      <c r="B322" s="5" t="s">
        <v>12</v>
      </c>
      <c r="C322" s="5" t="s">
        <v>59</v>
      </c>
      <c r="D322" s="5" t="s">
        <v>60</v>
      </c>
      <c r="E322" s="16">
        <v>49700</v>
      </c>
      <c r="F322" s="5" t="s">
        <v>15</v>
      </c>
      <c r="G322" s="8">
        <f t="shared" ref="G322:G385" si="5">INT((MONTH(A322)-1)/3)+1</f>
        <v>3</v>
      </c>
    </row>
    <row r="323" spans="1:7" x14ac:dyDescent="0.25">
      <c r="A323" s="7">
        <v>45490</v>
      </c>
      <c r="B323" s="5" t="s">
        <v>12</v>
      </c>
      <c r="C323" s="5" t="s">
        <v>59</v>
      </c>
      <c r="D323" s="5" t="s">
        <v>60</v>
      </c>
      <c r="E323" s="16">
        <v>50300</v>
      </c>
      <c r="F323" s="5" t="s">
        <v>15</v>
      </c>
      <c r="G323" s="8">
        <f t="shared" si="5"/>
        <v>3</v>
      </c>
    </row>
    <row r="324" spans="1:7" x14ac:dyDescent="0.25">
      <c r="A324" s="7">
        <v>45490</v>
      </c>
      <c r="B324" s="5" t="s">
        <v>12</v>
      </c>
      <c r="C324" s="5" t="s">
        <v>59</v>
      </c>
      <c r="D324" s="5" t="s">
        <v>60</v>
      </c>
      <c r="E324" s="16">
        <v>49600</v>
      </c>
      <c r="F324" s="5" t="s">
        <v>15</v>
      </c>
      <c r="G324" s="8">
        <f t="shared" si="5"/>
        <v>3</v>
      </c>
    </row>
    <row r="325" spans="1:7" x14ac:dyDescent="0.25">
      <c r="A325" s="6">
        <v>45491</v>
      </c>
      <c r="B325" s="4" t="s">
        <v>12</v>
      </c>
      <c r="C325" s="4" t="s">
        <v>16</v>
      </c>
      <c r="D325" s="4" t="s">
        <v>17</v>
      </c>
      <c r="E325" s="17">
        <v>40756</v>
      </c>
      <c r="F325" s="4" t="s">
        <v>15</v>
      </c>
      <c r="G325" s="8">
        <f t="shared" si="5"/>
        <v>3</v>
      </c>
    </row>
    <row r="326" spans="1:7" x14ac:dyDescent="0.25">
      <c r="A326" s="7">
        <v>45495</v>
      </c>
      <c r="B326" s="5" t="s">
        <v>34</v>
      </c>
      <c r="C326" s="5" t="s">
        <v>43</v>
      </c>
      <c r="D326" s="5" t="s">
        <v>44</v>
      </c>
      <c r="E326" s="16">
        <v>9780</v>
      </c>
      <c r="F326" s="5" t="s">
        <v>15</v>
      </c>
      <c r="G326" s="8">
        <f t="shared" si="5"/>
        <v>3</v>
      </c>
    </row>
    <row r="327" spans="1:7" x14ac:dyDescent="0.25">
      <c r="A327" s="7">
        <v>45495</v>
      </c>
      <c r="B327" s="5" t="s">
        <v>18</v>
      </c>
      <c r="C327" s="5" t="s">
        <v>19</v>
      </c>
      <c r="D327" s="5" t="s">
        <v>20</v>
      </c>
      <c r="E327" s="16">
        <v>134000</v>
      </c>
      <c r="F327" s="5" t="s">
        <v>21</v>
      </c>
      <c r="G327" s="8">
        <f t="shared" si="5"/>
        <v>3</v>
      </c>
    </row>
    <row r="328" spans="1:7" x14ac:dyDescent="0.25">
      <c r="A328" s="6">
        <v>45496</v>
      </c>
      <c r="B328" s="4" t="s">
        <v>22</v>
      </c>
      <c r="C328" s="4" t="s">
        <v>32</v>
      </c>
      <c r="D328" s="4" t="s">
        <v>33</v>
      </c>
      <c r="E328" s="17">
        <v>41641</v>
      </c>
      <c r="F328" s="4" t="s">
        <v>15</v>
      </c>
      <c r="G328" s="8">
        <f t="shared" si="5"/>
        <v>3</v>
      </c>
    </row>
    <row r="329" spans="1:7" x14ac:dyDescent="0.25">
      <c r="A329" s="7">
        <v>45498</v>
      </c>
      <c r="B329" s="5" t="s">
        <v>34</v>
      </c>
      <c r="C329" s="5" t="s">
        <v>43</v>
      </c>
      <c r="D329" s="5" t="s">
        <v>44</v>
      </c>
      <c r="E329" s="16">
        <v>11000</v>
      </c>
      <c r="F329" s="5" t="s">
        <v>15</v>
      </c>
      <c r="G329" s="8">
        <f t="shared" si="5"/>
        <v>3</v>
      </c>
    </row>
    <row r="330" spans="1:7" x14ac:dyDescent="0.25">
      <c r="A330" s="6">
        <v>45504</v>
      </c>
      <c r="B330" s="4" t="s">
        <v>22</v>
      </c>
      <c r="C330" s="4" t="s">
        <v>23</v>
      </c>
      <c r="D330" s="4" t="s">
        <v>24</v>
      </c>
      <c r="E330" s="17">
        <v>20494</v>
      </c>
      <c r="F330" s="4" t="s">
        <v>15</v>
      </c>
      <c r="G330" s="8">
        <f t="shared" si="5"/>
        <v>3</v>
      </c>
    </row>
    <row r="331" spans="1:7" x14ac:dyDescent="0.25">
      <c r="A331" s="6">
        <v>45505</v>
      </c>
      <c r="B331" s="4" t="s">
        <v>34</v>
      </c>
      <c r="C331" s="4" t="s">
        <v>43</v>
      </c>
      <c r="D331" s="4" t="s">
        <v>44</v>
      </c>
      <c r="E331" s="17">
        <v>28872</v>
      </c>
      <c r="F331" s="4" t="s">
        <v>15</v>
      </c>
      <c r="G331" s="8">
        <f t="shared" si="5"/>
        <v>3</v>
      </c>
    </row>
    <row r="332" spans="1:7" x14ac:dyDescent="0.25">
      <c r="A332" s="7">
        <v>45505</v>
      </c>
      <c r="B332" s="5" t="s">
        <v>25</v>
      </c>
      <c r="C332" s="5" t="s">
        <v>57</v>
      </c>
      <c r="D332" s="5" t="s">
        <v>58</v>
      </c>
      <c r="E332" s="16">
        <v>15600</v>
      </c>
      <c r="F332" s="5" t="s">
        <v>15</v>
      </c>
      <c r="G332" s="8">
        <f t="shared" si="5"/>
        <v>3</v>
      </c>
    </row>
    <row r="333" spans="1:7" x14ac:dyDescent="0.25">
      <c r="A333" s="7">
        <v>45506</v>
      </c>
      <c r="B333" s="5" t="s">
        <v>25</v>
      </c>
      <c r="C333" s="5" t="s">
        <v>57</v>
      </c>
      <c r="D333" s="5" t="s">
        <v>58</v>
      </c>
      <c r="E333" s="16">
        <v>17200</v>
      </c>
      <c r="F333" s="5" t="s">
        <v>15</v>
      </c>
      <c r="G333" s="8">
        <f t="shared" si="5"/>
        <v>3</v>
      </c>
    </row>
    <row r="334" spans="1:7" x14ac:dyDescent="0.25">
      <c r="A334" s="7">
        <v>45506</v>
      </c>
      <c r="B334" s="5" t="s">
        <v>25</v>
      </c>
      <c r="C334" s="5" t="s">
        <v>57</v>
      </c>
      <c r="D334" s="5" t="s">
        <v>58</v>
      </c>
      <c r="E334" s="16">
        <v>15230</v>
      </c>
      <c r="F334" s="5" t="s">
        <v>15</v>
      </c>
      <c r="G334" s="8">
        <f t="shared" si="5"/>
        <v>3</v>
      </c>
    </row>
    <row r="335" spans="1:7" x14ac:dyDescent="0.25">
      <c r="A335" s="6">
        <v>45507</v>
      </c>
      <c r="B335" s="4" t="s">
        <v>12</v>
      </c>
      <c r="C335" s="4" t="s">
        <v>45</v>
      </c>
      <c r="D335" s="4" t="s">
        <v>46</v>
      </c>
      <c r="E335" s="17">
        <v>32029</v>
      </c>
      <c r="F335" s="4" t="s">
        <v>15</v>
      </c>
      <c r="G335" s="8">
        <f t="shared" si="5"/>
        <v>3</v>
      </c>
    </row>
    <row r="336" spans="1:7" x14ac:dyDescent="0.25">
      <c r="A336" s="7">
        <v>45507</v>
      </c>
      <c r="B336" s="5" t="s">
        <v>25</v>
      </c>
      <c r="C336" s="5" t="s">
        <v>57</v>
      </c>
      <c r="D336" s="5" t="s">
        <v>58</v>
      </c>
      <c r="E336" s="16">
        <v>15340</v>
      </c>
      <c r="F336" s="5" t="s">
        <v>15</v>
      </c>
      <c r="G336" s="8">
        <f t="shared" si="5"/>
        <v>3</v>
      </c>
    </row>
    <row r="337" spans="1:7" x14ac:dyDescent="0.25">
      <c r="A337" s="7">
        <v>45508</v>
      </c>
      <c r="B337" s="5" t="s">
        <v>25</v>
      </c>
      <c r="C337" s="5" t="s">
        <v>57</v>
      </c>
      <c r="D337" s="5" t="s">
        <v>58</v>
      </c>
      <c r="E337" s="16">
        <v>15860</v>
      </c>
      <c r="F337" s="5" t="s">
        <v>15</v>
      </c>
      <c r="G337" s="8">
        <f t="shared" si="5"/>
        <v>3</v>
      </c>
    </row>
    <row r="338" spans="1:7" x14ac:dyDescent="0.25">
      <c r="A338" s="7">
        <v>45509</v>
      </c>
      <c r="B338" s="5" t="s">
        <v>25</v>
      </c>
      <c r="C338" s="5" t="s">
        <v>57</v>
      </c>
      <c r="D338" s="5" t="s">
        <v>58</v>
      </c>
      <c r="E338" s="16">
        <v>16500</v>
      </c>
      <c r="F338" s="5" t="s">
        <v>15</v>
      </c>
      <c r="G338" s="8">
        <f t="shared" si="5"/>
        <v>3</v>
      </c>
    </row>
    <row r="339" spans="1:7" x14ac:dyDescent="0.25">
      <c r="A339" s="7">
        <v>45509</v>
      </c>
      <c r="B339" s="5" t="s">
        <v>25</v>
      </c>
      <c r="C339" s="5" t="s">
        <v>57</v>
      </c>
      <c r="D339" s="5" t="s">
        <v>58</v>
      </c>
      <c r="E339" s="16">
        <v>16700</v>
      </c>
      <c r="F339" s="5" t="s">
        <v>15</v>
      </c>
      <c r="G339" s="8">
        <f t="shared" si="5"/>
        <v>3</v>
      </c>
    </row>
    <row r="340" spans="1:7" x14ac:dyDescent="0.25">
      <c r="A340" s="7">
        <v>45510</v>
      </c>
      <c r="B340" s="5" t="s">
        <v>25</v>
      </c>
      <c r="C340" s="5" t="s">
        <v>57</v>
      </c>
      <c r="D340" s="5" t="s">
        <v>58</v>
      </c>
      <c r="E340" s="16">
        <v>16820</v>
      </c>
      <c r="F340" s="5" t="s">
        <v>15</v>
      </c>
      <c r="G340" s="8">
        <f t="shared" si="5"/>
        <v>3</v>
      </c>
    </row>
    <row r="341" spans="1:7" x14ac:dyDescent="0.25">
      <c r="A341" s="7">
        <v>45510</v>
      </c>
      <c r="B341" s="5" t="s">
        <v>25</v>
      </c>
      <c r="C341" s="5" t="s">
        <v>57</v>
      </c>
      <c r="D341" s="5" t="s">
        <v>58</v>
      </c>
      <c r="E341" s="16">
        <v>16950</v>
      </c>
      <c r="F341" s="5" t="s">
        <v>15</v>
      </c>
      <c r="G341" s="8">
        <f t="shared" si="5"/>
        <v>3</v>
      </c>
    </row>
    <row r="342" spans="1:7" x14ac:dyDescent="0.25">
      <c r="A342" s="7">
        <v>45511</v>
      </c>
      <c r="B342" s="5" t="s">
        <v>25</v>
      </c>
      <c r="C342" s="5" t="s">
        <v>57</v>
      </c>
      <c r="D342" s="5" t="s">
        <v>58</v>
      </c>
      <c r="E342" s="16">
        <v>15380</v>
      </c>
      <c r="F342" s="5" t="s">
        <v>15</v>
      </c>
      <c r="G342" s="8">
        <f t="shared" si="5"/>
        <v>3</v>
      </c>
    </row>
    <row r="343" spans="1:7" x14ac:dyDescent="0.25">
      <c r="A343" s="7">
        <v>45512</v>
      </c>
      <c r="B343" s="5" t="s">
        <v>25</v>
      </c>
      <c r="C343" s="5" t="s">
        <v>57</v>
      </c>
      <c r="D343" s="5" t="s">
        <v>58</v>
      </c>
      <c r="E343" s="16">
        <v>17040</v>
      </c>
      <c r="F343" s="5" t="s">
        <v>15</v>
      </c>
      <c r="G343" s="8">
        <f t="shared" si="5"/>
        <v>3</v>
      </c>
    </row>
    <row r="344" spans="1:7" x14ac:dyDescent="0.25">
      <c r="A344" s="7">
        <v>45512</v>
      </c>
      <c r="B344" s="5" t="s">
        <v>25</v>
      </c>
      <c r="C344" s="5" t="s">
        <v>57</v>
      </c>
      <c r="D344" s="5" t="s">
        <v>58</v>
      </c>
      <c r="E344" s="16">
        <v>16880</v>
      </c>
      <c r="F344" s="5" t="s">
        <v>15</v>
      </c>
      <c r="G344" s="8">
        <f t="shared" si="5"/>
        <v>3</v>
      </c>
    </row>
    <row r="345" spans="1:7" x14ac:dyDescent="0.25">
      <c r="A345" s="7">
        <v>45512</v>
      </c>
      <c r="B345" s="5" t="s">
        <v>25</v>
      </c>
      <c r="C345" s="5" t="s">
        <v>57</v>
      </c>
      <c r="D345" s="5" t="s">
        <v>58</v>
      </c>
      <c r="E345" s="16">
        <v>16400</v>
      </c>
      <c r="F345" s="5" t="s">
        <v>15</v>
      </c>
      <c r="G345" s="8">
        <f t="shared" si="5"/>
        <v>3</v>
      </c>
    </row>
    <row r="346" spans="1:7" x14ac:dyDescent="0.25">
      <c r="A346" s="7">
        <v>45513</v>
      </c>
      <c r="B346" s="5" t="s">
        <v>25</v>
      </c>
      <c r="C346" s="5" t="s">
        <v>57</v>
      </c>
      <c r="D346" s="5" t="s">
        <v>58</v>
      </c>
      <c r="E346" s="16">
        <v>16020</v>
      </c>
      <c r="F346" s="5" t="s">
        <v>15</v>
      </c>
      <c r="G346" s="8">
        <f t="shared" si="5"/>
        <v>3</v>
      </c>
    </row>
    <row r="347" spans="1:7" x14ac:dyDescent="0.25">
      <c r="A347" s="7">
        <v>45513</v>
      </c>
      <c r="B347" s="5" t="s">
        <v>25</v>
      </c>
      <c r="C347" s="5" t="s">
        <v>57</v>
      </c>
      <c r="D347" s="5" t="s">
        <v>58</v>
      </c>
      <c r="E347" s="16">
        <v>16660</v>
      </c>
      <c r="F347" s="5" t="s">
        <v>15</v>
      </c>
      <c r="G347" s="8">
        <f t="shared" si="5"/>
        <v>3</v>
      </c>
    </row>
    <row r="348" spans="1:7" x14ac:dyDescent="0.25">
      <c r="A348" s="7">
        <v>45513</v>
      </c>
      <c r="B348" s="5" t="s">
        <v>25</v>
      </c>
      <c r="C348" s="5" t="s">
        <v>57</v>
      </c>
      <c r="D348" s="5" t="s">
        <v>58</v>
      </c>
      <c r="E348" s="16">
        <v>16500</v>
      </c>
      <c r="F348" s="5" t="s">
        <v>15</v>
      </c>
      <c r="G348" s="8">
        <f t="shared" si="5"/>
        <v>3</v>
      </c>
    </row>
    <row r="349" spans="1:7" x14ac:dyDescent="0.25">
      <c r="A349" s="7">
        <v>45513</v>
      </c>
      <c r="B349" s="5" t="s">
        <v>25</v>
      </c>
      <c r="C349" s="5" t="s">
        <v>57</v>
      </c>
      <c r="D349" s="5" t="s">
        <v>58</v>
      </c>
      <c r="E349" s="16">
        <v>16380</v>
      </c>
      <c r="F349" s="5" t="s">
        <v>15</v>
      </c>
      <c r="G349" s="8">
        <f t="shared" si="5"/>
        <v>3</v>
      </c>
    </row>
    <row r="350" spans="1:7" x14ac:dyDescent="0.25">
      <c r="A350" s="7">
        <v>45513</v>
      </c>
      <c r="B350" s="5" t="s">
        <v>25</v>
      </c>
      <c r="C350" s="5" t="s">
        <v>57</v>
      </c>
      <c r="D350" s="5" t="s">
        <v>58</v>
      </c>
      <c r="E350" s="16">
        <v>16900</v>
      </c>
      <c r="F350" s="5" t="s">
        <v>15</v>
      </c>
      <c r="G350" s="8">
        <f t="shared" si="5"/>
        <v>3</v>
      </c>
    </row>
    <row r="351" spans="1:7" x14ac:dyDescent="0.25">
      <c r="A351" s="7">
        <v>45513</v>
      </c>
      <c r="B351" s="5" t="s">
        <v>25</v>
      </c>
      <c r="C351" s="5" t="s">
        <v>57</v>
      </c>
      <c r="D351" s="5" t="s">
        <v>58</v>
      </c>
      <c r="E351" s="16">
        <v>16200</v>
      </c>
      <c r="F351" s="5" t="s">
        <v>15</v>
      </c>
      <c r="G351" s="8">
        <f t="shared" si="5"/>
        <v>3</v>
      </c>
    </row>
    <row r="352" spans="1:7" x14ac:dyDescent="0.25">
      <c r="A352" s="7">
        <v>45514</v>
      </c>
      <c r="B352" s="5" t="s">
        <v>22</v>
      </c>
      <c r="C352" s="5" t="s">
        <v>35</v>
      </c>
      <c r="D352" s="5" t="s">
        <v>36</v>
      </c>
      <c r="E352" s="16">
        <v>21375</v>
      </c>
      <c r="F352" s="5" t="s">
        <v>15</v>
      </c>
      <c r="G352" s="8">
        <f t="shared" si="5"/>
        <v>3</v>
      </c>
    </row>
    <row r="353" spans="1:7" x14ac:dyDescent="0.25">
      <c r="A353" s="7">
        <v>45514</v>
      </c>
      <c r="B353" s="5" t="s">
        <v>25</v>
      </c>
      <c r="C353" s="5" t="s">
        <v>57</v>
      </c>
      <c r="D353" s="5" t="s">
        <v>58</v>
      </c>
      <c r="E353" s="16">
        <v>16210</v>
      </c>
      <c r="F353" s="5" t="s">
        <v>15</v>
      </c>
      <c r="G353" s="8">
        <f t="shared" si="5"/>
        <v>3</v>
      </c>
    </row>
    <row r="354" spans="1:7" x14ac:dyDescent="0.25">
      <c r="A354" s="7">
        <v>45514</v>
      </c>
      <c r="B354" s="5" t="s">
        <v>25</v>
      </c>
      <c r="C354" s="5" t="s">
        <v>57</v>
      </c>
      <c r="D354" s="5" t="s">
        <v>58</v>
      </c>
      <c r="E354" s="16">
        <v>17100</v>
      </c>
      <c r="F354" s="5" t="s">
        <v>15</v>
      </c>
      <c r="G354" s="8">
        <f t="shared" si="5"/>
        <v>3</v>
      </c>
    </row>
    <row r="355" spans="1:7" x14ac:dyDescent="0.25">
      <c r="A355" s="7">
        <v>45516</v>
      </c>
      <c r="B355" s="5" t="s">
        <v>25</v>
      </c>
      <c r="C355" s="5" t="s">
        <v>41</v>
      </c>
      <c r="D355" s="5" t="s">
        <v>42</v>
      </c>
      <c r="E355" s="16">
        <v>91200</v>
      </c>
      <c r="F355" s="5" t="s">
        <v>21</v>
      </c>
      <c r="G355" s="8">
        <f t="shared" si="5"/>
        <v>3</v>
      </c>
    </row>
    <row r="356" spans="1:7" x14ac:dyDescent="0.25">
      <c r="A356" s="6">
        <v>45518</v>
      </c>
      <c r="B356" s="4" t="s">
        <v>34</v>
      </c>
      <c r="C356" s="4" t="s">
        <v>37</v>
      </c>
      <c r="D356" s="4" t="s">
        <v>38</v>
      </c>
      <c r="E356" s="17">
        <v>13705</v>
      </c>
      <c r="F356" s="4" t="s">
        <v>15</v>
      </c>
      <c r="G356" s="8">
        <f t="shared" si="5"/>
        <v>3</v>
      </c>
    </row>
    <row r="357" spans="1:7" x14ac:dyDescent="0.25">
      <c r="A357" s="6">
        <v>45518</v>
      </c>
      <c r="B357" s="4" t="s">
        <v>18</v>
      </c>
      <c r="C357" s="4" t="s">
        <v>19</v>
      </c>
      <c r="D357" s="4" t="s">
        <v>20</v>
      </c>
      <c r="E357" s="17">
        <v>10769</v>
      </c>
      <c r="F357" s="4" t="s">
        <v>21</v>
      </c>
      <c r="G357" s="8">
        <f t="shared" si="5"/>
        <v>3</v>
      </c>
    </row>
    <row r="358" spans="1:7" x14ac:dyDescent="0.25">
      <c r="A358" s="7">
        <v>45518</v>
      </c>
      <c r="B358" s="5" t="s">
        <v>25</v>
      </c>
      <c r="C358" s="5" t="s">
        <v>41</v>
      </c>
      <c r="D358" s="5" t="s">
        <v>42</v>
      </c>
      <c r="E358" s="16">
        <v>92000</v>
      </c>
      <c r="F358" s="5" t="s">
        <v>21</v>
      </c>
      <c r="G358" s="8">
        <f t="shared" si="5"/>
        <v>3</v>
      </c>
    </row>
    <row r="359" spans="1:7" x14ac:dyDescent="0.25">
      <c r="A359" s="6">
        <v>45521</v>
      </c>
      <c r="B359" s="4" t="s">
        <v>22</v>
      </c>
      <c r="C359" s="4" t="s">
        <v>32</v>
      </c>
      <c r="D359" s="4" t="s">
        <v>33</v>
      </c>
      <c r="E359" s="17">
        <v>9089</v>
      </c>
      <c r="F359" s="4" t="s">
        <v>15</v>
      </c>
      <c r="G359" s="8">
        <f t="shared" si="5"/>
        <v>3</v>
      </c>
    </row>
    <row r="360" spans="1:7" x14ac:dyDescent="0.25">
      <c r="A360" s="7">
        <v>45521</v>
      </c>
      <c r="B360" s="5" t="s">
        <v>22</v>
      </c>
      <c r="C360" s="5" t="s">
        <v>35</v>
      </c>
      <c r="D360" s="5" t="s">
        <v>36</v>
      </c>
      <c r="E360" s="16">
        <v>22980</v>
      </c>
      <c r="F360" s="5" t="s">
        <v>15</v>
      </c>
      <c r="G360" s="8">
        <f t="shared" si="5"/>
        <v>3</v>
      </c>
    </row>
    <row r="361" spans="1:7" x14ac:dyDescent="0.25">
      <c r="A361" s="7">
        <v>45522</v>
      </c>
      <c r="B361" s="5" t="s">
        <v>25</v>
      </c>
      <c r="C361" s="5" t="s">
        <v>53</v>
      </c>
      <c r="D361" s="5" t="s">
        <v>54</v>
      </c>
      <c r="E361" s="16">
        <v>126000</v>
      </c>
      <c r="F361" s="5" t="s">
        <v>21</v>
      </c>
      <c r="G361" s="8">
        <f t="shared" si="5"/>
        <v>3</v>
      </c>
    </row>
    <row r="362" spans="1:7" x14ac:dyDescent="0.25">
      <c r="A362" s="7">
        <v>45523</v>
      </c>
      <c r="B362" s="5" t="s">
        <v>25</v>
      </c>
      <c r="C362" s="5" t="s">
        <v>53</v>
      </c>
      <c r="D362" s="5" t="s">
        <v>54</v>
      </c>
      <c r="E362" s="16">
        <v>118600</v>
      </c>
      <c r="F362" s="5" t="s">
        <v>21</v>
      </c>
      <c r="G362" s="8">
        <f t="shared" si="5"/>
        <v>3</v>
      </c>
    </row>
    <row r="363" spans="1:7" x14ac:dyDescent="0.25">
      <c r="A363" s="6">
        <v>45525</v>
      </c>
      <c r="B363" s="4" t="s">
        <v>25</v>
      </c>
      <c r="C363" s="4" t="s">
        <v>26</v>
      </c>
      <c r="D363" s="4" t="s">
        <v>27</v>
      </c>
      <c r="E363" s="17">
        <v>17503</v>
      </c>
      <c r="F363" s="4" t="s">
        <v>15</v>
      </c>
      <c r="G363" s="8">
        <f t="shared" si="5"/>
        <v>3</v>
      </c>
    </row>
    <row r="364" spans="1:7" x14ac:dyDescent="0.25">
      <c r="A364" s="6">
        <v>45525</v>
      </c>
      <c r="B364" s="4" t="s">
        <v>18</v>
      </c>
      <c r="C364" s="4" t="s">
        <v>30</v>
      </c>
      <c r="D364" s="4" t="s">
        <v>31</v>
      </c>
      <c r="E364" s="17">
        <v>16160</v>
      </c>
      <c r="F364" s="4" t="s">
        <v>21</v>
      </c>
      <c r="G364" s="8">
        <f t="shared" si="5"/>
        <v>3</v>
      </c>
    </row>
    <row r="365" spans="1:7" x14ac:dyDescent="0.25">
      <c r="A365" s="7">
        <v>45528</v>
      </c>
      <c r="B365" s="5" t="s">
        <v>25</v>
      </c>
      <c r="C365" s="5" t="s">
        <v>41</v>
      </c>
      <c r="D365" s="5" t="s">
        <v>42</v>
      </c>
      <c r="E365" s="16">
        <v>99875</v>
      </c>
      <c r="F365" s="5" t="s">
        <v>21</v>
      </c>
      <c r="G365" s="8">
        <f t="shared" si="5"/>
        <v>3</v>
      </c>
    </row>
    <row r="366" spans="1:7" x14ac:dyDescent="0.25">
      <c r="A366" s="7">
        <v>45533</v>
      </c>
      <c r="B366" s="5" t="s">
        <v>25</v>
      </c>
      <c r="C366" s="5" t="s">
        <v>41</v>
      </c>
      <c r="D366" s="5" t="s">
        <v>42</v>
      </c>
      <c r="E366" s="16">
        <v>88900</v>
      </c>
      <c r="F366" s="5" t="s">
        <v>21</v>
      </c>
      <c r="G366" s="8">
        <f t="shared" si="5"/>
        <v>3</v>
      </c>
    </row>
    <row r="367" spans="1:7" x14ac:dyDescent="0.25">
      <c r="A367" s="7">
        <v>45534</v>
      </c>
      <c r="B367" s="5" t="s">
        <v>25</v>
      </c>
      <c r="C367" s="5" t="s">
        <v>57</v>
      </c>
      <c r="D367" s="5" t="s">
        <v>58</v>
      </c>
      <c r="E367" s="16">
        <v>14990</v>
      </c>
      <c r="F367" s="5" t="s">
        <v>15</v>
      </c>
      <c r="G367" s="8">
        <f t="shared" si="5"/>
        <v>3</v>
      </c>
    </row>
    <row r="368" spans="1:7" x14ac:dyDescent="0.25">
      <c r="A368" s="7">
        <v>45536</v>
      </c>
      <c r="B368" s="5" t="s">
        <v>18</v>
      </c>
      <c r="C368" s="5" t="s">
        <v>19</v>
      </c>
      <c r="D368" s="5" t="s">
        <v>20</v>
      </c>
      <c r="E368" s="16">
        <v>145600</v>
      </c>
      <c r="F368" s="5" t="s">
        <v>21</v>
      </c>
      <c r="G368" s="8">
        <f t="shared" si="5"/>
        <v>3</v>
      </c>
    </row>
    <row r="369" spans="1:7" x14ac:dyDescent="0.25">
      <c r="A369" s="6">
        <v>45542</v>
      </c>
      <c r="B369" s="4" t="s">
        <v>18</v>
      </c>
      <c r="C369" s="4" t="s">
        <v>19</v>
      </c>
      <c r="D369" s="4" t="s">
        <v>20</v>
      </c>
      <c r="E369" s="17">
        <v>36739</v>
      </c>
      <c r="F369" s="4" t="s">
        <v>21</v>
      </c>
      <c r="G369" s="8">
        <f t="shared" si="5"/>
        <v>3</v>
      </c>
    </row>
    <row r="370" spans="1:7" x14ac:dyDescent="0.25">
      <c r="A370" s="6">
        <v>45542</v>
      </c>
      <c r="B370" s="4" t="s">
        <v>18</v>
      </c>
      <c r="C370" s="4" t="s">
        <v>30</v>
      </c>
      <c r="D370" s="4" t="s">
        <v>31</v>
      </c>
      <c r="E370" s="17">
        <v>13404</v>
      </c>
      <c r="F370" s="4" t="s">
        <v>21</v>
      </c>
      <c r="G370" s="8">
        <f t="shared" si="5"/>
        <v>3</v>
      </c>
    </row>
    <row r="371" spans="1:7" x14ac:dyDescent="0.25">
      <c r="A371" s="6">
        <v>45548</v>
      </c>
      <c r="B371" s="4" t="s">
        <v>25</v>
      </c>
      <c r="C371" s="4" t="s">
        <v>28</v>
      </c>
      <c r="D371" s="4" t="s">
        <v>29</v>
      </c>
      <c r="E371" s="17">
        <v>7241</v>
      </c>
      <c r="F371" s="4" t="s">
        <v>15</v>
      </c>
      <c r="G371" s="8">
        <f t="shared" si="5"/>
        <v>3</v>
      </c>
    </row>
    <row r="372" spans="1:7" x14ac:dyDescent="0.25">
      <c r="A372" s="6">
        <v>45550</v>
      </c>
      <c r="B372" s="4" t="s">
        <v>12</v>
      </c>
      <c r="C372" s="4" t="s">
        <v>13</v>
      </c>
      <c r="D372" s="4" t="s">
        <v>14</v>
      </c>
      <c r="E372" s="17">
        <v>24145</v>
      </c>
      <c r="F372" s="4" t="s">
        <v>15</v>
      </c>
      <c r="G372" s="8">
        <f t="shared" si="5"/>
        <v>3</v>
      </c>
    </row>
    <row r="373" spans="1:7" x14ac:dyDescent="0.25">
      <c r="A373" s="6">
        <v>45551</v>
      </c>
      <c r="B373" s="4" t="s">
        <v>12</v>
      </c>
      <c r="C373" s="4" t="s">
        <v>45</v>
      </c>
      <c r="D373" s="4" t="s">
        <v>46</v>
      </c>
      <c r="E373" s="17">
        <v>15066</v>
      </c>
      <c r="F373" s="4" t="s">
        <v>15</v>
      </c>
      <c r="G373" s="8">
        <f t="shared" si="5"/>
        <v>3</v>
      </c>
    </row>
    <row r="374" spans="1:7" x14ac:dyDescent="0.25">
      <c r="A374" s="6">
        <v>45551</v>
      </c>
      <c r="B374" s="4" t="s">
        <v>34</v>
      </c>
      <c r="C374" s="4" t="s">
        <v>35</v>
      </c>
      <c r="D374" s="4" t="s">
        <v>36</v>
      </c>
      <c r="E374" s="17">
        <v>48326</v>
      </c>
      <c r="F374" s="4" t="s">
        <v>15</v>
      </c>
      <c r="G374" s="8">
        <f t="shared" si="5"/>
        <v>3</v>
      </c>
    </row>
    <row r="375" spans="1:7" x14ac:dyDescent="0.25">
      <c r="A375" s="7">
        <v>45551</v>
      </c>
      <c r="B375" s="5" t="s">
        <v>18</v>
      </c>
      <c r="C375" s="5" t="s">
        <v>19</v>
      </c>
      <c r="D375" s="5" t="s">
        <v>20</v>
      </c>
      <c r="E375" s="16">
        <v>154200</v>
      </c>
      <c r="F375" s="5" t="s">
        <v>21</v>
      </c>
      <c r="G375" s="8">
        <f t="shared" si="5"/>
        <v>3</v>
      </c>
    </row>
    <row r="376" spans="1:7" x14ac:dyDescent="0.25">
      <c r="A376" s="7">
        <v>45553</v>
      </c>
      <c r="B376" s="5" t="s">
        <v>18</v>
      </c>
      <c r="C376" s="5" t="s">
        <v>47</v>
      </c>
      <c r="D376" s="5" t="s">
        <v>48</v>
      </c>
      <c r="E376" s="16">
        <v>21550</v>
      </c>
      <c r="F376" s="5" t="s">
        <v>15</v>
      </c>
      <c r="G376" s="8">
        <f t="shared" si="5"/>
        <v>3</v>
      </c>
    </row>
    <row r="377" spans="1:7" x14ac:dyDescent="0.25">
      <c r="A377" s="7">
        <v>45554</v>
      </c>
      <c r="B377" s="5" t="s">
        <v>34</v>
      </c>
      <c r="C377" s="5" t="s">
        <v>37</v>
      </c>
      <c r="D377" s="5" t="s">
        <v>38</v>
      </c>
      <c r="E377" s="16">
        <v>18750</v>
      </c>
      <c r="F377" s="5" t="s">
        <v>15</v>
      </c>
      <c r="G377" s="8">
        <f t="shared" si="5"/>
        <v>3</v>
      </c>
    </row>
    <row r="378" spans="1:7" x14ac:dyDescent="0.25">
      <c r="A378" s="7">
        <v>45556</v>
      </c>
      <c r="B378" s="5" t="s">
        <v>18</v>
      </c>
      <c r="C378" s="5" t="s">
        <v>47</v>
      </c>
      <c r="D378" s="5" t="s">
        <v>48</v>
      </c>
      <c r="E378" s="16">
        <v>22900</v>
      </c>
      <c r="F378" s="5" t="s">
        <v>15</v>
      </c>
      <c r="G378" s="8">
        <f t="shared" si="5"/>
        <v>3</v>
      </c>
    </row>
    <row r="379" spans="1:7" x14ac:dyDescent="0.25">
      <c r="A379" s="7">
        <v>45557</v>
      </c>
      <c r="B379" s="5" t="s">
        <v>18</v>
      </c>
      <c r="C379" s="5" t="s">
        <v>47</v>
      </c>
      <c r="D379" s="5" t="s">
        <v>48</v>
      </c>
      <c r="E379" s="16">
        <v>24200</v>
      </c>
      <c r="F379" s="5" t="s">
        <v>15</v>
      </c>
      <c r="G379" s="8">
        <f t="shared" si="5"/>
        <v>3</v>
      </c>
    </row>
    <row r="380" spans="1:7" x14ac:dyDescent="0.25">
      <c r="A380" s="6">
        <v>45558</v>
      </c>
      <c r="B380" s="4" t="s">
        <v>34</v>
      </c>
      <c r="C380" s="4" t="s">
        <v>37</v>
      </c>
      <c r="D380" s="4" t="s">
        <v>38</v>
      </c>
      <c r="E380" s="17">
        <v>39417</v>
      </c>
      <c r="F380" s="4" t="s">
        <v>15</v>
      </c>
      <c r="G380" s="8">
        <f t="shared" si="5"/>
        <v>3</v>
      </c>
    </row>
    <row r="381" spans="1:7" x14ac:dyDescent="0.25">
      <c r="A381" s="6">
        <v>45560</v>
      </c>
      <c r="B381" s="4" t="s">
        <v>18</v>
      </c>
      <c r="C381" s="4" t="s">
        <v>47</v>
      </c>
      <c r="D381" s="4" t="s">
        <v>48</v>
      </c>
      <c r="E381" s="17">
        <v>49929</v>
      </c>
      <c r="F381" s="4" t="s">
        <v>15</v>
      </c>
      <c r="G381" s="8">
        <f t="shared" si="5"/>
        <v>3</v>
      </c>
    </row>
    <row r="382" spans="1:7" x14ac:dyDescent="0.25">
      <c r="A382" s="7">
        <v>45563</v>
      </c>
      <c r="B382" s="5" t="s">
        <v>34</v>
      </c>
      <c r="C382" s="5" t="s">
        <v>37</v>
      </c>
      <c r="D382" s="5" t="s">
        <v>38</v>
      </c>
      <c r="E382" s="16">
        <v>18240</v>
      </c>
      <c r="F382" s="5" t="s">
        <v>15</v>
      </c>
      <c r="G382" s="8">
        <f t="shared" si="5"/>
        <v>3</v>
      </c>
    </row>
    <row r="383" spans="1:7" x14ac:dyDescent="0.25">
      <c r="A383" s="7">
        <v>45565</v>
      </c>
      <c r="B383" s="5" t="s">
        <v>18</v>
      </c>
      <c r="C383" s="5" t="s">
        <v>19</v>
      </c>
      <c r="D383" s="5" t="s">
        <v>20</v>
      </c>
      <c r="E383" s="16">
        <v>131420</v>
      </c>
      <c r="F383" s="5" t="s">
        <v>21</v>
      </c>
      <c r="G383" s="8">
        <f t="shared" si="5"/>
        <v>3</v>
      </c>
    </row>
    <row r="384" spans="1:7" x14ac:dyDescent="0.25">
      <c r="A384" s="7">
        <v>45567</v>
      </c>
      <c r="B384" s="5" t="s">
        <v>18</v>
      </c>
      <c r="C384" s="5" t="s">
        <v>19</v>
      </c>
      <c r="D384" s="5" t="s">
        <v>20</v>
      </c>
      <c r="E384" s="16">
        <v>140300</v>
      </c>
      <c r="F384" s="5" t="s">
        <v>21</v>
      </c>
      <c r="G384" s="8">
        <f t="shared" si="5"/>
        <v>4</v>
      </c>
    </row>
    <row r="385" spans="1:7" x14ac:dyDescent="0.25">
      <c r="A385" s="7">
        <v>45567</v>
      </c>
      <c r="B385" s="5" t="s">
        <v>18</v>
      </c>
      <c r="C385" s="5" t="s">
        <v>19</v>
      </c>
      <c r="D385" s="5" t="s">
        <v>20</v>
      </c>
      <c r="E385" s="16">
        <v>144800</v>
      </c>
      <c r="F385" s="5" t="s">
        <v>21</v>
      </c>
      <c r="G385" s="8">
        <f t="shared" si="5"/>
        <v>4</v>
      </c>
    </row>
    <row r="386" spans="1:7" x14ac:dyDescent="0.25">
      <c r="A386" s="7">
        <v>45568</v>
      </c>
      <c r="B386" s="5" t="s">
        <v>18</v>
      </c>
      <c r="C386" s="5" t="s">
        <v>47</v>
      </c>
      <c r="D386" s="5" t="s">
        <v>48</v>
      </c>
      <c r="E386" s="16">
        <v>23700</v>
      </c>
      <c r="F386" s="5" t="s">
        <v>15</v>
      </c>
      <c r="G386" s="8">
        <f t="shared" ref="G386:G449" si="6">INT((MONTH(A386)-1)/3)+1</f>
        <v>4</v>
      </c>
    </row>
    <row r="387" spans="1:7" x14ac:dyDescent="0.25">
      <c r="A387" s="7">
        <v>45569</v>
      </c>
      <c r="B387" s="5" t="s">
        <v>18</v>
      </c>
      <c r="C387" s="5" t="s">
        <v>47</v>
      </c>
      <c r="D387" s="5" t="s">
        <v>48</v>
      </c>
      <c r="E387" s="16">
        <v>23200</v>
      </c>
      <c r="F387" s="5" t="s">
        <v>15</v>
      </c>
      <c r="G387" s="8">
        <f t="shared" si="6"/>
        <v>4</v>
      </c>
    </row>
    <row r="388" spans="1:7" x14ac:dyDescent="0.25">
      <c r="A388" s="7">
        <v>45570</v>
      </c>
      <c r="B388" s="5" t="s">
        <v>22</v>
      </c>
      <c r="C388" s="5" t="s">
        <v>39</v>
      </c>
      <c r="D388" s="5" t="s">
        <v>40</v>
      </c>
      <c r="E388" s="16">
        <v>16490</v>
      </c>
      <c r="F388" s="5" t="s">
        <v>15</v>
      </c>
      <c r="G388" s="8">
        <f t="shared" si="6"/>
        <v>4</v>
      </c>
    </row>
    <row r="389" spans="1:7" x14ac:dyDescent="0.25">
      <c r="A389" s="6">
        <v>45571</v>
      </c>
      <c r="B389" s="4" t="s">
        <v>34</v>
      </c>
      <c r="C389" s="4" t="s">
        <v>43</v>
      </c>
      <c r="D389" s="4" t="s">
        <v>44</v>
      </c>
      <c r="E389" s="17">
        <v>12393</v>
      </c>
      <c r="F389" s="4" t="s">
        <v>15</v>
      </c>
      <c r="G389" s="8">
        <f t="shared" si="6"/>
        <v>4</v>
      </c>
    </row>
    <row r="390" spans="1:7" x14ac:dyDescent="0.25">
      <c r="A390" s="7">
        <v>45571</v>
      </c>
      <c r="B390" s="5" t="s">
        <v>18</v>
      </c>
      <c r="C390" s="5" t="s">
        <v>47</v>
      </c>
      <c r="D390" s="5" t="s">
        <v>48</v>
      </c>
      <c r="E390" s="16">
        <v>24900</v>
      </c>
      <c r="F390" s="5" t="s">
        <v>15</v>
      </c>
      <c r="G390" s="8">
        <f t="shared" si="6"/>
        <v>4</v>
      </c>
    </row>
    <row r="391" spans="1:7" x14ac:dyDescent="0.25">
      <c r="A391" s="7">
        <v>45572</v>
      </c>
      <c r="B391" s="5" t="s">
        <v>18</v>
      </c>
      <c r="C391" s="5" t="s">
        <v>47</v>
      </c>
      <c r="D391" s="5" t="s">
        <v>48</v>
      </c>
      <c r="E391" s="16">
        <v>24300</v>
      </c>
      <c r="F391" s="5" t="s">
        <v>15</v>
      </c>
      <c r="G391" s="8">
        <f t="shared" si="6"/>
        <v>4</v>
      </c>
    </row>
    <row r="392" spans="1:7" x14ac:dyDescent="0.25">
      <c r="A392" s="7">
        <v>45573</v>
      </c>
      <c r="B392" s="5" t="s">
        <v>18</v>
      </c>
      <c r="C392" s="5" t="s">
        <v>47</v>
      </c>
      <c r="D392" s="5" t="s">
        <v>48</v>
      </c>
      <c r="E392" s="16">
        <v>24000</v>
      </c>
      <c r="F392" s="5" t="s">
        <v>15</v>
      </c>
      <c r="G392" s="8">
        <f t="shared" si="6"/>
        <v>4</v>
      </c>
    </row>
    <row r="393" spans="1:7" x14ac:dyDescent="0.25">
      <c r="A393" s="7">
        <v>45574</v>
      </c>
      <c r="B393" s="5" t="s">
        <v>18</v>
      </c>
      <c r="C393" s="5" t="s">
        <v>47</v>
      </c>
      <c r="D393" s="5" t="s">
        <v>48</v>
      </c>
      <c r="E393" s="16">
        <v>25500</v>
      </c>
      <c r="F393" s="5" t="s">
        <v>15</v>
      </c>
      <c r="G393" s="8">
        <f t="shared" si="6"/>
        <v>4</v>
      </c>
    </row>
    <row r="394" spans="1:7" x14ac:dyDescent="0.25">
      <c r="A394" s="7">
        <v>45575</v>
      </c>
      <c r="B394" s="5" t="s">
        <v>12</v>
      </c>
      <c r="C394" s="5" t="s">
        <v>59</v>
      </c>
      <c r="D394" s="5" t="s">
        <v>60</v>
      </c>
      <c r="E394" s="16">
        <v>48700</v>
      </c>
      <c r="F394" s="5" t="s">
        <v>15</v>
      </c>
      <c r="G394" s="8">
        <f t="shared" si="6"/>
        <v>4</v>
      </c>
    </row>
    <row r="395" spans="1:7" x14ac:dyDescent="0.25">
      <c r="A395" s="7">
        <v>45575</v>
      </c>
      <c r="B395" s="5" t="s">
        <v>18</v>
      </c>
      <c r="C395" s="5" t="s">
        <v>47</v>
      </c>
      <c r="D395" s="5" t="s">
        <v>48</v>
      </c>
      <c r="E395" s="16">
        <v>25900</v>
      </c>
      <c r="F395" s="5" t="s">
        <v>15</v>
      </c>
      <c r="G395" s="8">
        <f t="shared" si="6"/>
        <v>4</v>
      </c>
    </row>
    <row r="396" spans="1:7" x14ac:dyDescent="0.25">
      <c r="A396" s="7">
        <v>45575</v>
      </c>
      <c r="B396" s="5" t="s">
        <v>18</v>
      </c>
      <c r="C396" s="5" t="s">
        <v>47</v>
      </c>
      <c r="D396" s="5" t="s">
        <v>48</v>
      </c>
      <c r="E396" s="16">
        <v>25100</v>
      </c>
      <c r="F396" s="5" t="s">
        <v>15</v>
      </c>
      <c r="G396" s="8">
        <f t="shared" si="6"/>
        <v>4</v>
      </c>
    </row>
    <row r="397" spans="1:7" x14ac:dyDescent="0.25">
      <c r="A397" s="7">
        <v>45575</v>
      </c>
      <c r="B397" s="5" t="s">
        <v>18</v>
      </c>
      <c r="C397" s="5" t="s">
        <v>47</v>
      </c>
      <c r="D397" s="5" t="s">
        <v>48</v>
      </c>
      <c r="E397" s="16">
        <v>25700</v>
      </c>
      <c r="F397" s="5" t="s">
        <v>15</v>
      </c>
      <c r="G397" s="8">
        <f t="shared" si="6"/>
        <v>4</v>
      </c>
    </row>
    <row r="398" spans="1:7" x14ac:dyDescent="0.25">
      <c r="A398" s="7">
        <v>45575</v>
      </c>
      <c r="B398" s="5" t="s">
        <v>18</v>
      </c>
      <c r="C398" s="5" t="s">
        <v>47</v>
      </c>
      <c r="D398" s="5" t="s">
        <v>48</v>
      </c>
      <c r="E398" s="16">
        <v>25500</v>
      </c>
      <c r="F398" s="5" t="s">
        <v>15</v>
      </c>
      <c r="G398" s="8">
        <f t="shared" si="6"/>
        <v>4</v>
      </c>
    </row>
    <row r="399" spans="1:7" x14ac:dyDescent="0.25">
      <c r="A399" s="7">
        <v>45575</v>
      </c>
      <c r="B399" s="5" t="s">
        <v>18</v>
      </c>
      <c r="C399" s="5" t="s">
        <v>47</v>
      </c>
      <c r="D399" s="5" t="s">
        <v>48</v>
      </c>
      <c r="E399" s="16">
        <v>25200</v>
      </c>
      <c r="F399" s="5" t="s">
        <v>15</v>
      </c>
      <c r="G399" s="8">
        <f t="shared" si="6"/>
        <v>4</v>
      </c>
    </row>
    <row r="400" spans="1:7" x14ac:dyDescent="0.25">
      <c r="A400" s="6">
        <v>45576</v>
      </c>
      <c r="B400" s="4" t="s">
        <v>18</v>
      </c>
      <c r="C400" s="4" t="s">
        <v>19</v>
      </c>
      <c r="D400" s="4" t="s">
        <v>20</v>
      </c>
      <c r="E400" s="17">
        <v>17137</v>
      </c>
      <c r="F400" s="4" t="s">
        <v>21</v>
      </c>
      <c r="G400" s="8">
        <f t="shared" si="6"/>
        <v>4</v>
      </c>
    </row>
    <row r="401" spans="1:7" x14ac:dyDescent="0.25">
      <c r="A401" s="7">
        <v>45576</v>
      </c>
      <c r="B401" s="5" t="s">
        <v>18</v>
      </c>
      <c r="C401" s="5" t="s">
        <v>47</v>
      </c>
      <c r="D401" s="5" t="s">
        <v>48</v>
      </c>
      <c r="E401" s="16">
        <v>24600</v>
      </c>
      <c r="F401" s="5" t="s">
        <v>15</v>
      </c>
      <c r="G401" s="8">
        <f t="shared" si="6"/>
        <v>4</v>
      </c>
    </row>
    <row r="402" spans="1:7" x14ac:dyDescent="0.25">
      <c r="A402" s="7">
        <v>45576</v>
      </c>
      <c r="B402" s="5" t="s">
        <v>18</v>
      </c>
      <c r="C402" s="5" t="s">
        <v>47</v>
      </c>
      <c r="D402" s="5" t="s">
        <v>48</v>
      </c>
      <c r="E402" s="16">
        <v>24780</v>
      </c>
      <c r="F402" s="5" t="s">
        <v>15</v>
      </c>
      <c r="G402" s="8">
        <f t="shared" si="6"/>
        <v>4</v>
      </c>
    </row>
    <row r="403" spans="1:7" x14ac:dyDescent="0.25">
      <c r="A403" s="7">
        <v>45576</v>
      </c>
      <c r="B403" s="5" t="s">
        <v>18</v>
      </c>
      <c r="C403" s="5" t="s">
        <v>47</v>
      </c>
      <c r="D403" s="5" t="s">
        <v>48</v>
      </c>
      <c r="E403" s="16">
        <v>24450</v>
      </c>
      <c r="F403" s="5" t="s">
        <v>15</v>
      </c>
      <c r="G403" s="8">
        <f t="shared" si="6"/>
        <v>4</v>
      </c>
    </row>
    <row r="404" spans="1:7" x14ac:dyDescent="0.25">
      <c r="A404" s="7">
        <v>45576</v>
      </c>
      <c r="B404" s="5" t="s">
        <v>18</v>
      </c>
      <c r="C404" s="5" t="s">
        <v>47</v>
      </c>
      <c r="D404" s="5" t="s">
        <v>48</v>
      </c>
      <c r="E404" s="16">
        <v>24800</v>
      </c>
      <c r="F404" s="5" t="s">
        <v>15</v>
      </c>
      <c r="G404" s="8">
        <f t="shared" si="6"/>
        <v>4</v>
      </c>
    </row>
    <row r="405" spans="1:7" x14ac:dyDescent="0.25">
      <c r="A405" s="7">
        <v>45576</v>
      </c>
      <c r="B405" s="5" t="s">
        <v>18</v>
      </c>
      <c r="C405" s="5" t="s">
        <v>47</v>
      </c>
      <c r="D405" s="5" t="s">
        <v>48</v>
      </c>
      <c r="E405" s="16">
        <v>25000</v>
      </c>
      <c r="F405" s="5" t="s">
        <v>15</v>
      </c>
      <c r="G405" s="8">
        <f t="shared" si="6"/>
        <v>4</v>
      </c>
    </row>
    <row r="406" spans="1:7" x14ac:dyDescent="0.25">
      <c r="A406" s="7">
        <v>45577</v>
      </c>
      <c r="B406" s="5" t="s">
        <v>12</v>
      </c>
      <c r="C406" s="5" t="s">
        <v>59</v>
      </c>
      <c r="D406" s="5" t="s">
        <v>60</v>
      </c>
      <c r="E406" s="16">
        <v>50900</v>
      </c>
      <c r="F406" s="5" t="s">
        <v>15</v>
      </c>
      <c r="G406" s="8">
        <f t="shared" si="6"/>
        <v>4</v>
      </c>
    </row>
    <row r="407" spans="1:7" x14ac:dyDescent="0.25">
      <c r="A407" s="7">
        <v>45577</v>
      </c>
      <c r="B407" s="5" t="s">
        <v>18</v>
      </c>
      <c r="C407" s="5" t="s">
        <v>47</v>
      </c>
      <c r="D407" s="5" t="s">
        <v>48</v>
      </c>
      <c r="E407" s="16">
        <v>25300</v>
      </c>
      <c r="F407" s="5" t="s">
        <v>15</v>
      </c>
      <c r="G407" s="8">
        <f t="shared" si="6"/>
        <v>4</v>
      </c>
    </row>
    <row r="408" spans="1:7" x14ac:dyDescent="0.25">
      <c r="A408" s="7">
        <v>45578</v>
      </c>
      <c r="B408" s="5" t="s">
        <v>22</v>
      </c>
      <c r="C408" s="5" t="s">
        <v>39</v>
      </c>
      <c r="D408" s="5" t="s">
        <v>40</v>
      </c>
      <c r="E408" s="16">
        <v>15840</v>
      </c>
      <c r="F408" s="5" t="s">
        <v>15</v>
      </c>
      <c r="G408" s="8">
        <f t="shared" si="6"/>
        <v>4</v>
      </c>
    </row>
    <row r="409" spans="1:7" x14ac:dyDescent="0.25">
      <c r="A409" s="6">
        <v>45581</v>
      </c>
      <c r="B409" s="4" t="s">
        <v>18</v>
      </c>
      <c r="C409" s="4" t="s">
        <v>47</v>
      </c>
      <c r="D409" s="4" t="s">
        <v>48</v>
      </c>
      <c r="E409" s="17">
        <v>11828</v>
      </c>
      <c r="F409" s="4" t="s">
        <v>15</v>
      </c>
      <c r="G409" s="8">
        <f t="shared" si="6"/>
        <v>4</v>
      </c>
    </row>
    <row r="410" spans="1:7" x14ac:dyDescent="0.25">
      <c r="A410" s="6">
        <v>45584</v>
      </c>
      <c r="B410" s="4" t="s">
        <v>25</v>
      </c>
      <c r="C410" s="4" t="s">
        <v>41</v>
      </c>
      <c r="D410" s="4" t="s">
        <v>42</v>
      </c>
      <c r="E410" s="17">
        <v>34792</v>
      </c>
      <c r="F410" s="4" t="s">
        <v>21</v>
      </c>
      <c r="G410" s="8">
        <f t="shared" si="6"/>
        <v>4</v>
      </c>
    </row>
    <row r="411" spans="1:7" x14ac:dyDescent="0.25">
      <c r="A411" s="6">
        <v>45584</v>
      </c>
      <c r="B411" s="4" t="s">
        <v>22</v>
      </c>
      <c r="C411" s="4" t="s">
        <v>32</v>
      </c>
      <c r="D411" s="4" t="s">
        <v>33</v>
      </c>
      <c r="E411" s="17">
        <v>21929</v>
      </c>
      <c r="F411" s="4" t="s">
        <v>15</v>
      </c>
      <c r="G411" s="8">
        <f t="shared" si="6"/>
        <v>4</v>
      </c>
    </row>
    <row r="412" spans="1:7" x14ac:dyDescent="0.25">
      <c r="A412" s="6">
        <v>45588</v>
      </c>
      <c r="B412" s="4" t="s">
        <v>18</v>
      </c>
      <c r="C412" s="4" t="s">
        <v>19</v>
      </c>
      <c r="D412" s="4" t="s">
        <v>20</v>
      </c>
      <c r="E412" s="17">
        <v>21711</v>
      </c>
      <c r="F412" s="4" t="s">
        <v>21</v>
      </c>
      <c r="G412" s="8">
        <f t="shared" si="6"/>
        <v>4</v>
      </c>
    </row>
    <row r="413" spans="1:7" x14ac:dyDescent="0.25">
      <c r="A413" s="7">
        <v>45589</v>
      </c>
      <c r="B413" s="5" t="s">
        <v>18</v>
      </c>
      <c r="C413" s="5" t="s">
        <v>19</v>
      </c>
      <c r="D413" s="5" t="s">
        <v>20</v>
      </c>
      <c r="E413" s="16">
        <v>135700</v>
      </c>
      <c r="F413" s="5" t="s">
        <v>21</v>
      </c>
      <c r="G413" s="8">
        <f t="shared" si="6"/>
        <v>4</v>
      </c>
    </row>
    <row r="414" spans="1:7" x14ac:dyDescent="0.25">
      <c r="A414" s="6">
        <v>45591</v>
      </c>
      <c r="B414" s="4" t="s">
        <v>34</v>
      </c>
      <c r="C414" s="4" t="s">
        <v>37</v>
      </c>
      <c r="D414" s="4" t="s">
        <v>38</v>
      </c>
      <c r="E414" s="17">
        <v>22020</v>
      </c>
      <c r="F414" s="4" t="s">
        <v>15</v>
      </c>
      <c r="G414" s="8">
        <f t="shared" si="6"/>
        <v>4</v>
      </c>
    </row>
    <row r="415" spans="1:7" x14ac:dyDescent="0.25">
      <c r="A415" s="7">
        <v>45591</v>
      </c>
      <c r="B415" s="5" t="s">
        <v>18</v>
      </c>
      <c r="C415" s="5" t="s">
        <v>19</v>
      </c>
      <c r="D415" s="5" t="s">
        <v>20</v>
      </c>
      <c r="E415" s="16">
        <v>137200</v>
      </c>
      <c r="F415" s="5" t="s">
        <v>21</v>
      </c>
      <c r="G415" s="8">
        <f t="shared" si="6"/>
        <v>4</v>
      </c>
    </row>
    <row r="416" spans="1:7" x14ac:dyDescent="0.25">
      <c r="A416" s="7">
        <v>45592</v>
      </c>
      <c r="B416" s="5" t="s">
        <v>18</v>
      </c>
      <c r="C416" s="5" t="s">
        <v>19</v>
      </c>
      <c r="D416" s="5" t="s">
        <v>20</v>
      </c>
      <c r="E416" s="16">
        <v>128700</v>
      </c>
      <c r="F416" s="5" t="s">
        <v>21</v>
      </c>
      <c r="G416" s="8">
        <f t="shared" si="6"/>
        <v>4</v>
      </c>
    </row>
    <row r="417" spans="1:7" x14ac:dyDescent="0.25">
      <c r="A417" s="7">
        <v>45592</v>
      </c>
      <c r="B417" s="5" t="s">
        <v>18</v>
      </c>
      <c r="C417" s="5" t="s">
        <v>19</v>
      </c>
      <c r="D417" s="5" t="s">
        <v>20</v>
      </c>
      <c r="E417" s="16">
        <v>138600</v>
      </c>
      <c r="F417" s="5" t="s">
        <v>21</v>
      </c>
      <c r="G417" s="8">
        <f t="shared" si="6"/>
        <v>4</v>
      </c>
    </row>
    <row r="418" spans="1:7" x14ac:dyDescent="0.25">
      <c r="A418" s="7">
        <v>45593</v>
      </c>
      <c r="B418" s="5" t="s">
        <v>12</v>
      </c>
      <c r="C418" s="5" t="s">
        <v>59</v>
      </c>
      <c r="D418" s="5" t="s">
        <v>60</v>
      </c>
      <c r="E418" s="16">
        <v>47200</v>
      </c>
      <c r="F418" s="5" t="s">
        <v>15</v>
      </c>
      <c r="G418" s="8">
        <f t="shared" si="6"/>
        <v>4</v>
      </c>
    </row>
    <row r="419" spans="1:7" x14ac:dyDescent="0.25">
      <c r="A419" s="7">
        <v>45593</v>
      </c>
      <c r="B419" s="5" t="s">
        <v>18</v>
      </c>
      <c r="C419" s="5" t="s">
        <v>19</v>
      </c>
      <c r="D419" s="5" t="s">
        <v>20</v>
      </c>
      <c r="E419" s="16">
        <v>139900</v>
      </c>
      <c r="F419" s="5" t="s">
        <v>21</v>
      </c>
      <c r="G419" s="8">
        <f t="shared" si="6"/>
        <v>4</v>
      </c>
    </row>
    <row r="420" spans="1:7" x14ac:dyDescent="0.25">
      <c r="A420" s="7">
        <v>45594</v>
      </c>
      <c r="B420" s="5" t="s">
        <v>18</v>
      </c>
      <c r="C420" s="5" t="s">
        <v>19</v>
      </c>
      <c r="D420" s="5" t="s">
        <v>20</v>
      </c>
      <c r="E420" s="16">
        <v>131800</v>
      </c>
      <c r="F420" s="5" t="s">
        <v>21</v>
      </c>
      <c r="G420" s="8">
        <f t="shared" si="6"/>
        <v>4</v>
      </c>
    </row>
    <row r="421" spans="1:7" x14ac:dyDescent="0.25">
      <c r="A421" s="7">
        <v>45595</v>
      </c>
      <c r="B421" s="5" t="s">
        <v>12</v>
      </c>
      <c r="C421" s="5" t="s">
        <v>59</v>
      </c>
      <c r="D421" s="5" t="s">
        <v>60</v>
      </c>
      <c r="E421" s="16">
        <v>49500</v>
      </c>
      <c r="F421" s="5" t="s">
        <v>15</v>
      </c>
      <c r="G421" s="8">
        <f t="shared" si="6"/>
        <v>4</v>
      </c>
    </row>
    <row r="422" spans="1:7" x14ac:dyDescent="0.25">
      <c r="A422" s="7">
        <v>45595</v>
      </c>
      <c r="B422" s="5" t="s">
        <v>18</v>
      </c>
      <c r="C422" s="5" t="s">
        <v>19</v>
      </c>
      <c r="D422" s="5" t="s">
        <v>20</v>
      </c>
      <c r="E422" s="16">
        <v>136800</v>
      </c>
      <c r="F422" s="5" t="s">
        <v>21</v>
      </c>
      <c r="G422" s="8">
        <f t="shared" si="6"/>
        <v>4</v>
      </c>
    </row>
    <row r="423" spans="1:7" x14ac:dyDescent="0.25">
      <c r="A423" s="7">
        <v>45596</v>
      </c>
      <c r="B423" s="5" t="s">
        <v>18</v>
      </c>
      <c r="C423" s="5" t="s">
        <v>19</v>
      </c>
      <c r="D423" s="5" t="s">
        <v>20</v>
      </c>
      <c r="E423" s="16">
        <v>141500</v>
      </c>
      <c r="F423" s="5" t="s">
        <v>21</v>
      </c>
      <c r="G423" s="8">
        <f t="shared" si="6"/>
        <v>4</v>
      </c>
    </row>
    <row r="424" spans="1:7" x14ac:dyDescent="0.25">
      <c r="A424" s="7">
        <v>45597</v>
      </c>
      <c r="B424" s="5" t="s">
        <v>25</v>
      </c>
      <c r="C424" s="5" t="s">
        <v>53</v>
      </c>
      <c r="D424" s="5" t="s">
        <v>54</v>
      </c>
      <c r="E424" s="16">
        <v>108000</v>
      </c>
      <c r="F424" s="5" t="s">
        <v>21</v>
      </c>
      <c r="G424" s="8">
        <f t="shared" si="6"/>
        <v>4</v>
      </c>
    </row>
    <row r="425" spans="1:7" x14ac:dyDescent="0.25">
      <c r="A425" s="7">
        <v>45597</v>
      </c>
      <c r="B425" s="5" t="s">
        <v>18</v>
      </c>
      <c r="C425" s="5" t="s">
        <v>19</v>
      </c>
      <c r="D425" s="5" t="s">
        <v>20</v>
      </c>
      <c r="E425" s="16">
        <v>143600</v>
      </c>
      <c r="F425" s="5" t="s">
        <v>21</v>
      </c>
      <c r="G425" s="8">
        <f t="shared" si="6"/>
        <v>4</v>
      </c>
    </row>
    <row r="426" spans="1:7" x14ac:dyDescent="0.25">
      <c r="A426" s="6">
        <v>45598</v>
      </c>
      <c r="B426" s="4" t="s">
        <v>12</v>
      </c>
      <c r="C426" s="4" t="s">
        <v>16</v>
      </c>
      <c r="D426" s="4" t="s">
        <v>17</v>
      </c>
      <c r="E426" s="17">
        <v>18414</v>
      </c>
      <c r="F426" s="4" t="s">
        <v>15</v>
      </c>
      <c r="G426" s="8">
        <f t="shared" si="6"/>
        <v>4</v>
      </c>
    </row>
    <row r="427" spans="1:7" x14ac:dyDescent="0.25">
      <c r="A427" s="7">
        <v>45599</v>
      </c>
      <c r="B427" s="5" t="s">
        <v>25</v>
      </c>
      <c r="C427" s="5" t="s">
        <v>53</v>
      </c>
      <c r="D427" s="5" t="s">
        <v>54</v>
      </c>
      <c r="E427" s="16">
        <v>110900</v>
      </c>
      <c r="F427" s="5" t="s">
        <v>21</v>
      </c>
      <c r="G427" s="8">
        <f t="shared" si="6"/>
        <v>4</v>
      </c>
    </row>
    <row r="428" spans="1:7" x14ac:dyDescent="0.25">
      <c r="A428" s="7">
        <v>45599</v>
      </c>
      <c r="B428" s="5" t="s">
        <v>18</v>
      </c>
      <c r="C428" s="5" t="s">
        <v>19</v>
      </c>
      <c r="D428" s="5" t="s">
        <v>20</v>
      </c>
      <c r="E428" s="16">
        <v>142000</v>
      </c>
      <c r="F428" s="5" t="s">
        <v>21</v>
      </c>
      <c r="G428" s="8">
        <f t="shared" si="6"/>
        <v>4</v>
      </c>
    </row>
    <row r="429" spans="1:7" x14ac:dyDescent="0.25">
      <c r="A429" s="6">
        <v>45600</v>
      </c>
      <c r="B429" s="4" t="s">
        <v>18</v>
      </c>
      <c r="C429" s="4" t="s">
        <v>30</v>
      </c>
      <c r="D429" s="4" t="s">
        <v>31</v>
      </c>
      <c r="E429" s="17">
        <v>33673</v>
      </c>
      <c r="F429" s="4" t="s">
        <v>21</v>
      </c>
      <c r="G429" s="8">
        <f t="shared" si="6"/>
        <v>4</v>
      </c>
    </row>
    <row r="430" spans="1:7" x14ac:dyDescent="0.25">
      <c r="A430" s="7">
        <v>45600</v>
      </c>
      <c r="B430" s="5" t="s">
        <v>25</v>
      </c>
      <c r="C430" s="5" t="s">
        <v>53</v>
      </c>
      <c r="D430" s="5" t="s">
        <v>54</v>
      </c>
      <c r="E430" s="16">
        <v>112000</v>
      </c>
      <c r="F430" s="5" t="s">
        <v>21</v>
      </c>
      <c r="G430" s="8">
        <f t="shared" si="6"/>
        <v>4</v>
      </c>
    </row>
    <row r="431" spans="1:7" x14ac:dyDescent="0.25">
      <c r="A431" s="7">
        <v>45600</v>
      </c>
      <c r="B431" s="5" t="s">
        <v>18</v>
      </c>
      <c r="C431" s="5" t="s">
        <v>19</v>
      </c>
      <c r="D431" s="5" t="s">
        <v>20</v>
      </c>
      <c r="E431" s="16">
        <v>140500</v>
      </c>
      <c r="F431" s="5" t="s">
        <v>21</v>
      </c>
      <c r="G431" s="8">
        <f t="shared" si="6"/>
        <v>4</v>
      </c>
    </row>
    <row r="432" spans="1:7" x14ac:dyDescent="0.25">
      <c r="A432" s="7">
        <v>45601</v>
      </c>
      <c r="B432" s="5" t="s">
        <v>18</v>
      </c>
      <c r="C432" s="5" t="s">
        <v>19</v>
      </c>
      <c r="D432" s="5" t="s">
        <v>20</v>
      </c>
      <c r="E432" s="16">
        <v>150600</v>
      </c>
      <c r="F432" s="5" t="s">
        <v>21</v>
      </c>
      <c r="G432" s="8">
        <f t="shared" si="6"/>
        <v>4</v>
      </c>
    </row>
    <row r="433" spans="1:7" x14ac:dyDescent="0.25">
      <c r="A433" s="6">
        <v>45602</v>
      </c>
      <c r="B433" s="4" t="s">
        <v>18</v>
      </c>
      <c r="C433" s="4" t="s">
        <v>30</v>
      </c>
      <c r="D433" s="4" t="s">
        <v>31</v>
      </c>
      <c r="E433" s="17">
        <v>35501</v>
      </c>
      <c r="F433" s="4" t="s">
        <v>21</v>
      </c>
      <c r="G433" s="8">
        <f t="shared" si="6"/>
        <v>4</v>
      </c>
    </row>
    <row r="434" spans="1:7" x14ac:dyDescent="0.25">
      <c r="A434" s="7">
        <v>45602</v>
      </c>
      <c r="B434" s="5" t="s">
        <v>18</v>
      </c>
      <c r="C434" s="5" t="s">
        <v>19</v>
      </c>
      <c r="D434" s="5" t="s">
        <v>20</v>
      </c>
      <c r="E434" s="16">
        <v>147800</v>
      </c>
      <c r="F434" s="5" t="s">
        <v>21</v>
      </c>
      <c r="G434" s="8">
        <f t="shared" si="6"/>
        <v>4</v>
      </c>
    </row>
    <row r="435" spans="1:7" x14ac:dyDescent="0.25">
      <c r="A435" s="7">
        <v>45602</v>
      </c>
      <c r="B435" s="5" t="s">
        <v>18</v>
      </c>
      <c r="C435" s="5" t="s">
        <v>19</v>
      </c>
      <c r="D435" s="5" t="s">
        <v>20</v>
      </c>
      <c r="E435" s="16">
        <v>148500</v>
      </c>
      <c r="F435" s="5" t="s">
        <v>21</v>
      </c>
      <c r="G435" s="8">
        <f t="shared" si="6"/>
        <v>4</v>
      </c>
    </row>
    <row r="436" spans="1:7" x14ac:dyDescent="0.25">
      <c r="A436" s="7">
        <v>45602</v>
      </c>
      <c r="B436" s="5" t="s">
        <v>18</v>
      </c>
      <c r="C436" s="5" t="s">
        <v>19</v>
      </c>
      <c r="D436" s="5" t="s">
        <v>20</v>
      </c>
      <c r="E436" s="16">
        <v>152300</v>
      </c>
      <c r="F436" s="5" t="s">
        <v>21</v>
      </c>
      <c r="G436" s="8">
        <f t="shared" si="6"/>
        <v>4</v>
      </c>
    </row>
    <row r="437" spans="1:7" x14ac:dyDescent="0.25">
      <c r="A437" s="7">
        <v>45602</v>
      </c>
      <c r="B437" s="5" t="s">
        <v>18</v>
      </c>
      <c r="C437" s="5" t="s">
        <v>19</v>
      </c>
      <c r="D437" s="5" t="s">
        <v>20</v>
      </c>
      <c r="E437" s="16">
        <v>151800</v>
      </c>
      <c r="F437" s="5" t="s">
        <v>21</v>
      </c>
      <c r="G437" s="8">
        <f t="shared" si="6"/>
        <v>4</v>
      </c>
    </row>
    <row r="438" spans="1:7" x14ac:dyDescent="0.25">
      <c r="A438" s="6">
        <v>45603</v>
      </c>
      <c r="B438" s="4" t="s">
        <v>18</v>
      </c>
      <c r="C438" s="4" t="s">
        <v>30</v>
      </c>
      <c r="D438" s="4" t="s">
        <v>31</v>
      </c>
      <c r="E438" s="17">
        <v>14220</v>
      </c>
      <c r="F438" s="4" t="s">
        <v>21</v>
      </c>
      <c r="G438" s="8">
        <f t="shared" si="6"/>
        <v>4</v>
      </c>
    </row>
    <row r="439" spans="1:7" x14ac:dyDescent="0.25">
      <c r="A439" s="7">
        <v>45603</v>
      </c>
      <c r="B439" s="5" t="s">
        <v>18</v>
      </c>
      <c r="C439" s="5" t="s">
        <v>19</v>
      </c>
      <c r="D439" s="5" t="s">
        <v>20</v>
      </c>
      <c r="E439" s="16">
        <v>145300</v>
      </c>
      <c r="F439" s="5" t="s">
        <v>21</v>
      </c>
      <c r="G439" s="8">
        <f t="shared" si="6"/>
        <v>4</v>
      </c>
    </row>
    <row r="440" spans="1:7" x14ac:dyDescent="0.25">
      <c r="A440" s="7">
        <v>45603</v>
      </c>
      <c r="B440" s="5" t="s">
        <v>18</v>
      </c>
      <c r="C440" s="5" t="s">
        <v>19</v>
      </c>
      <c r="D440" s="5" t="s">
        <v>20</v>
      </c>
      <c r="E440" s="16">
        <v>149900</v>
      </c>
      <c r="F440" s="5" t="s">
        <v>21</v>
      </c>
      <c r="G440" s="8">
        <f t="shared" si="6"/>
        <v>4</v>
      </c>
    </row>
    <row r="441" spans="1:7" x14ac:dyDescent="0.25">
      <c r="A441" s="7">
        <v>45603</v>
      </c>
      <c r="B441" s="5" t="s">
        <v>18</v>
      </c>
      <c r="C441" s="5" t="s">
        <v>19</v>
      </c>
      <c r="D441" s="5" t="s">
        <v>20</v>
      </c>
      <c r="E441" s="16">
        <v>150900</v>
      </c>
      <c r="F441" s="5" t="s">
        <v>21</v>
      </c>
      <c r="G441" s="8">
        <f t="shared" si="6"/>
        <v>4</v>
      </c>
    </row>
    <row r="442" spans="1:7" x14ac:dyDescent="0.25">
      <c r="A442" s="7">
        <v>45603</v>
      </c>
      <c r="B442" s="5" t="s">
        <v>18</v>
      </c>
      <c r="C442" s="5" t="s">
        <v>19</v>
      </c>
      <c r="D442" s="5" t="s">
        <v>20</v>
      </c>
      <c r="E442" s="16">
        <v>153500</v>
      </c>
      <c r="F442" s="5" t="s">
        <v>21</v>
      </c>
      <c r="G442" s="8">
        <f t="shared" si="6"/>
        <v>4</v>
      </c>
    </row>
    <row r="443" spans="1:7" x14ac:dyDescent="0.25">
      <c r="A443" s="7">
        <v>45603</v>
      </c>
      <c r="B443" s="5" t="s">
        <v>18</v>
      </c>
      <c r="C443" s="5" t="s">
        <v>19</v>
      </c>
      <c r="D443" s="5" t="s">
        <v>20</v>
      </c>
      <c r="E443" s="16">
        <v>149700</v>
      </c>
      <c r="F443" s="5" t="s">
        <v>21</v>
      </c>
      <c r="G443" s="8">
        <f t="shared" si="6"/>
        <v>4</v>
      </c>
    </row>
    <row r="444" spans="1:7" x14ac:dyDescent="0.25">
      <c r="A444" s="7">
        <v>45604</v>
      </c>
      <c r="B444" s="5" t="s">
        <v>18</v>
      </c>
      <c r="C444" s="5" t="s">
        <v>19</v>
      </c>
      <c r="D444" s="5" t="s">
        <v>20</v>
      </c>
      <c r="E444" s="16">
        <v>146000</v>
      </c>
      <c r="F444" s="5" t="s">
        <v>21</v>
      </c>
      <c r="G444" s="8">
        <f t="shared" si="6"/>
        <v>4</v>
      </c>
    </row>
    <row r="445" spans="1:7" x14ac:dyDescent="0.25">
      <c r="A445" s="7">
        <v>45607</v>
      </c>
      <c r="B445" s="5" t="s">
        <v>25</v>
      </c>
      <c r="C445" s="5" t="s">
        <v>53</v>
      </c>
      <c r="D445" s="5" t="s">
        <v>54</v>
      </c>
      <c r="E445" s="16">
        <v>116500</v>
      </c>
      <c r="F445" s="5" t="s">
        <v>21</v>
      </c>
      <c r="G445" s="8">
        <f t="shared" si="6"/>
        <v>4</v>
      </c>
    </row>
    <row r="446" spans="1:7" x14ac:dyDescent="0.25">
      <c r="A446" s="7">
        <v>45610</v>
      </c>
      <c r="B446" s="5" t="s">
        <v>12</v>
      </c>
      <c r="C446" s="5" t="s">
        <v>45</v>
      </c>
      <c r="D446" s="5" t="s">
        <v>46</v>
      </c>
      <c r="E446" s="16">
        <v>6940</v>
      </c>
      <c r="F446" s="5" t="s">
        <v>15</v>
      </c>
      <c r="G446" s="8">
        <f t="shared" si="6"/>
        <v>4</v>
      </c>
    </row>
    <row r="447" spans="1:7" x14ac:dyDescent="0.25">
      <c r="A447" s="7">
        <v>45611</v>
      </c>
      <c r="B447" s="5" t="s">
        <v>12</v>
      </c>
      <c r="C447" s="5" t="s">
        <v>45</v>
      </c>
      <c r="D447" s="5" t="s">
        <v>46</v>
      </c>
      <c r="E447" s="16">
        <v>6720</v>
      </c>
      <c r="F447" s="5" t="s">
        <v>15</v>
      </c>
      <c r="G447" s="8">
        <f t="shared" si="6"/>
        <v>4</v>
      </c>
    </row>
    <row r="448" spans="1:7" x14ac:dyDescent="0.25">
      <c r="A448" s="6">
        <v>45612</v>
      </c>
      <c r="B448" s="4" t="s">
        <v>34</v>
      </c>
      <c r="C448" s="4" t="s">
        <v>35</v>
      </c>
      <c r="D448" s="4" t="s">
        <v>36</v>
      </c>
      <c r="E448" s="17">
        <v>28665</v>
      </c>
      <c r="F448" s="4" t="s">
        <v>15</v>
      </c>
      <c r="G448" s="8">
        <f t="shared" si="6"/>
        <v>4</v>
      </c>
    </row>
    <row r="449" spans="1:7" x14ac:dyDescent="0.25">
      <c r="A449" s="7">
        <v>45614</v>
      </c>
      <c r="B449" s="5" t="s">
        <v>25</v>
      </c>
      <c r="C449" s="5" t="s">
        <v>53</v>
      </c>
      <c r="D449" s="5" t="s">
        <v>54</v>
      </c>
      <c r="E449" s="16">
        <v>125800</v>
      </c>
      <c r="F449" s="5" t="s">
        <v>21</v>
      </c>
      <c r="G449" s="8">
        <f t="shared" si="6"/>
        <v>4</v>
      </c>
    </row>
    <row r="450" spans="1:7" x14ac:dyDescent="0.25">
      <c r="A450" s="7">
        <v>45621</v>
      </c>
      <c r="B450" s="5" t="s">
        <v>25</v>
      </c>
      <c r="C450" s="5" t="s">
        <v>53</v>
      </c>
      <c r="D450" s="5" t="s">
        <v>54</v>
      </c>
      <c r="E450" s="16">
        <v>125300</v>
      </c>
      <c r="F450" s="5" t="s">
        <v>21</v>
      </c>
      <c r="G450" s="8">
        <f t="shared" ref="G450:G500" si="7">INT((MONTH(A450)-1)/3)+1</f>
        <v>4</v>
      </c>
    </row>
    <row r="451" spans="1:7" x14ac:dyDescent="0.25">
      <c r="A451" s="7">
        <v>45621</v>
      </c>
      <c r="B451" s="5" t="s">
        <v>25</v>
      </c>
      <c r="C451" s="5" t="s">
        <v>53</v>
      </c>
      <c r="D451" s="5" t="s">
        <v>54</v>
      </c>
      <c r="E451" s="16">
        <v>126200</v>
      </c>
      <c r="F451" s="5" t="s">
        <v>21</v>
      </c>
      <c r="G451" s="8">
        <f t="shared" si="7"/>
        <v>4</v>
      </c>
    </row>
    <row r="452" spans="1:7" x14ac:dyDescent="0.25">
      <c r="A452" s="6">
        <v>45622</v>
      </c>
      <c r="B452" s="4" t="s">
        <v>12</v>
      </c>
      <c r="C452" s="4" t="s">
        <v>16</v>
      </c>
      <c r="D452" s="4" t="s">
        <v>17</v>
      </c>
      <c r="E452" s="17">
        <v>8468</v>
      </c>
      <c r="F452" s="4" t="s">
        <v>15</v>
      </c>
      <c r="G452" s="8">
        <f t="shared" si="7"/>
        <v>4</v>
      </c>
    </row>
    <row r="453" spans="1:7" x14ac:dyDescent="0.25">
      <c r="A453" s="7">
        <v>45622</v>
      </c>
      <c r="B453" s="5" t="s">
        <v>25</v>
      </c>
      <c r="C453" s="5" t="s">
        <v>53</v>
      </c>
      <c r="D453" s="5" t="s">
        <v>54</v>
      </c>
      <c r="E453" s="16">
        <v>122200</v>
      </c>
      <c r="F453" s="5" t="s">
        <v>21</v>
      </c>
      <c r="G453" s="8">
        <f t="shared" si="7"/>
        <v>4</v>
      </c>
    </row>
    <row r="454" spans="1:7" x14ac:dyDescent="0.25">
      <c r="A454" s="7">
        <v>45622</v>
      </c>
      <c r="B454" s="5" t="s">
        <v>25</v>
      </c>
      <c r="C454" s="5" t="s">
        <v>53</v>
      </c>
      <c r="D454" s="5" t="s">
        <v>54</v>
      </c>
      <c r="E454" s="16">
        <v>122900</v>
      </c>
      <c r="F454" s="5" t="s">
        <v>21</v>
      </c>
      <c r="G454" s="8">
        <f t="shared" si="7"/>
        <v>4</v>
      </c>
    </row>
    <row r="455" spans="1:7" x14ac:dyDescent="0.25">
      <c r="A455" s="7">
        <v>45622</v>
      </c>
      <c r="B455" s="5" t="s">
        <v>25</v>
      </c>
      <c r="C455" s="5" t="s">
        <v>53</v>
      </c>
      <c r="D455" s="5" t="s">
        <v>54</v>
      </c>
      <c r="E455" s="16">
        <v>124100</v>
      </c>
      <c r="F455" s="5" t="s">
        <v>21</v>
      </c>
      <c r="G455" s="8">
        <f t="shared" si="7"/>
        <v>4</v>
      </c>
    </row>
    <row r="456" spans="1:7" x14ac:dyDescent="0.25">
      <c r="A456" s="7">
        <v>45622</v>
      </c>
      <c r="B456" s="5" t="s">
        <v>25</v>
      </c>
      <c r="C456" s="5" t="s">
        <v>53</v>
      </c>
      <c r="D456" s="5" t="s">
        <v>54</v>
      </c>
      <c r="E456" s="16">
        <v>127000</v>
      </c>
      <c r="F456" s="5" t="s">
        <v>21</v>
      </c>
      <c r="G456" s="8">
        <f t="shared" si="7"/>
        <v>4</v>
      </c>
    </row>
    <row r="457" spans="1:7" x14ac:dyDescent="0.25">
      <c r="A457" s="6">
        <v>45623</v>
      </c>
      <c r="B457" s="4" t="s">
        <v>22</v>
      </c>
      <c r="C457" s="4" t="s">
        <v>39</v>
      </c>
      <c r="D457" s="4" t="s">
        <v>40</v>
      </c>
      <c r="E457" s="17">
        <v>30162</v>
      </c>
      <c r="F457" s="4" t="s">
        <v>15</v>
      </c>
      <c r="G457" s="8">
        <f t="shared" si="7"/>
        <v>4</v>
      </c>
    </row>
    <row r="458" spans="1:7" x14ac:dyDescent="0.25">
      <c r="A458" s="7">
        <v>45623</v>
      </c>
      <c r="B458" s="5" t="s">
        <v>25</v>
      </c>
      <c r="C458" s="5" t="s">
        <v>53</v>
      </c>
      <c r="D458" s="5" t="s">
        <v>54</v>
      </c>
      <c r="E458" s="16">
        <v>118000</v>
      </c>
      <c r="F458" s="5" t="s">
        <v>21</v>
      </c>
      <c r="G458" s="8">
        <f t="shared" si="7"/>
        <v>4</v>
      </c>
    </row>
    <row r="459" spans="1:7" x14ac:dyDescent="0.25">
      <c r="A459" s="7">
        <v>45623</v>
      </c>
      <c r="B459" s="5" t="s">
        <v>25</v>
      </c>
      <c r="C459" s="5" t="s">
        <v>53</v>
      </c>
      <c r="D459" s="5" t="s">
        <v>54</v>
      </c>
      <c r="E459" s="16">
        <v>121000</v>
      </c>
      <c r="F459" s="5" t="s">
        <v>21</v>
      </c>
      <c r="G459" s="8">
        <f t="shared" si="7"/>
        <v>4</v>
      </c>
    </row>
    <row r="460" spans="1:7" x14ac:dyDescent="0.25">
      <c r="A460" s="7">
        <v>45623</v>
      </c>
      <c r="B460" s="5" t="s">
        <v>25</v>
      </c>
      <c r="C460" s="5" t="s">
        <v>53</v>
      </c>
      <c r="D460" s="5" t="s">
        <v>54</v>
      </c>
      <c r="E460" s="16">
        <v>122800</v>
      </c>
      <c r="F460" s="5" t="s">
        <v>21</v>
      </c>
      <c r="G460" s="8">
        <f t="shared" si="7"/>
        <v>4</v>
      </c>
    </row>
    <row r="461" spans="1:7" x14ac:dyDescent="0.25">
      <c r="A461" s="7">
        <v>45624</v>
      </c>
      <c r="B461" s="5" t="s">
        <v>25</v>
      </c>
      <c r="C461" s="5" t="s">
        <v>53</v>
      </c>
      <c r="D461" s="5" t="s">
        <v>54</v>
      </c>
      <c r="E461" s="16">
        <v>120300</v>
      </c>
      <c r="F461" s="5" t="s">
        <v>21</v>
      </c>
      <c r="G461" s="8">
        <f t="shared" si="7"/>
        <v>4</v>
      </c>
    </row>
    <row r="462" spans="1:7" x14ac:dyDescent="0.25">
      <c r="A462" s="7">
        <v>45624</v>
      </c>
      <c r="B462" s="5" t="s">
        <v>25</v>
      </c>
      <c r="C462" s="5" t="s">
        <v>53</v>
      </c>
      <c r="D462" s="5" t="s">
        <v>54</v>
      </c>
      <c r="E462" s="16">
        <v>120600</v>
      </c>
      <c r="F462" s="5" t="s">
        <v>21</v>
      </c>
      <c r="G462" s="8">
        <f t="shared" si="7"/>
        <v>4</v>
      </c>
    </row>
    <row r="463" spans="1:7" x14ac:dyDescent="0.25">
      <c r="A463" s="7">
        <v>45625</v>
      </c>
      <c r="B463" s="5" t="s">
        <v>25</v>
      </c>
      <c r="C463" s="5" t="s">
        <v>53</v>
      </c>
      <c r="D463" s="5" t="s">
        <v>54</v>
      </c>
      <c r="E463" s="16">
        <v>117500</v>
      </c>
      <c r="F463" s="5" t="s">
        <v>21</v>
      </c>
      <c r="G463" s="8">
        <f t="shared" si="7"/>
        <v>4</v>
      </c>
    </row>
    <row r="464" spans="1:7" x14ac:dyDescent="0.25">
      <c r="A464" s="7">
        <v>45625</v>
      </c>
      <c r="B464" s="5" t="s">
        <v>25</v>
      </c>
      <c r="C464" s="5" t="s">
        <v>53</v>
      </c>
      <c r="D464" s="5" t="s">
        <v>54</v>
      </c>
      <c r="E464" s="16">
        <v>121200</v>
      </c>
      <c r="F464" s="5" t="s">
        <v>21</v>
      </c>
      <c r="G464" s="8">
        <f t="shared" si="7"/>
        <v>4</v>
      </c>
    </row>
    <row r="465" spans="1:7" x14ac:dyDescent="0.25">
      <c r="A465" s="7">
        <v>45625</v>
      </c>
      <c r="B465" s="5" t="s">
        <v>25</v>
      </c>
      <c r="C465" s="5" t="s">
        <v>53</v>
      </c>
      <c r="D465" s="5" t="s">
        <v>54</v>
      </c>
      <c r="E465" s="16">
        <v>128000</v>
      </c>
      <c r="F465" s="5" t="s">
        <v>21</v>
      </c>
      <c r="G465" s="8">
        <f t="shared" si="7"/>
        <v>4</v>
      </c>
    </row>
    <row r="466" spans="1:7" x14ac:dyDescent="0.25">
      <c r="A466" s="6">
        <v>45626</v>
      </c>
      <c r="B466" s="4" t="s">
        <v>12</v>
      </c>
      <c r="C466" s="4" t="s">
        <v>16</v>
      </c>
      <c r="D466" s="4" t="s">
        <v>17</v>
      </c>
      <c r="E466" s="17">
        <v>42058</v>
      </c>
      <c r="F466" s="4" t="s">
        <v>15</v>
      </c>
      <c r="G466" s="8">
        <f t="shared" si="7"/>
        <v>4</v>
      </c>
    </row>
    <row r="467" spans="1:7" x14ac:dyDescent="0.25">
      <c r="A467" s="7">
        <v>45626</v>
      </c>
      <c r="B467" s="5" t="s">
        <v>25</v>
      </c>
      <c r="C467" s="5" t="s">
        <v>53</v>
      </c>
      <c r="D467" s="5" t="s">
        <v>54</v>
      </c>
      <c r="E467" s="16">
        <v>124000</v>
      </c>
      <c r="F467" s="5" t="s">
        <v>21</v>
      </c>
      <c r="G467" s="8">
        <f t="shared" si="7"/>
        <v>4</v>
      </c>
    </row>
    <row r="468" spans="1:7" x14ac:dyDescent="0.25">
      <c r="A468" s="7">
        <v>45626</v>
      </c>
      <c r="B468" s="5" t="s">
        <v>25</v>
      </c>
      <c r="C468" s="5" t="s">
        <v>53</v>
      </c>
      <c r="D468" s="5" t="s">
        <v>54</v>
      </c>
      <c r="E468" s="16">
        <v>126400</v>
      </c>
      <c r="F468" s="5" t="s">
        <v>21</v>
      </c>
      <c r="G468" s="8">
        <f t="shared" si="7"/>
        <v>4</v>
      </c>
    </row>
    <row r="469" spans="1:7" x14ac:dyDescent="0.25">
      <c r="A469" s="7">
        <v>45627</v>
      </c>
      <c r="B469" s="5" t="s">
        <v>25</v>
      </c>
      <c r="C469" s="5" t="s">
        <v>53</v>
      </c>
      <c r="D469" s="5" t="s">
        <v>54</v>
      </c>
      <c r="E469" s="16">
        <v>123000</v>
      </c>
      <c r="F469" s="5" t="s">
        <v>21</v>
      </c>
      <c r="G469" s="8">
        <f t="shared" si="7"/>
        <v>4</v>
      </c>
    </row>
    <row r="470" spans="1:7" x14ac:dyDescent="0.25">
      <c r="A470" s="6">
        <v>45629</v>
      </c>
      <c r="B470" s="4" t="s">
        <v>34</v>
      </c>
      <c r="C470" s="4" t="s">
        <v>43</v>
      </c>
      <c r="D470" s="4" t="s">
        <v>44</v>
      </c>
      <c r="E470" s="17">
        <v>47593</v>
      </c>
      <c r="F470" s="4" t="s">
        <v>15</v>
      </c>
      <c r="G470" s="8">
        <f t="shared" si="7"/>
        <v>4</v>
      </c>
    </row>
    <row r="471" spans="1:7" x14ac:dyDescent="0.25">
      <c r="A471" s="7">
        <v>45629</v>
      </c>
      <c r="B471" s="5" t="s">
        <v>34</v>
      </c>
      <c r="C471" s="5" t="s">
        <v>37</v>
      </c>
      <c r="D471" s="5" t="s">
        <v>38</v>
      </c>
      <c r="E471" s="16">
        <v>16840</v>
      </c>
      <c r="F471" s="5" t="s">
        <v>15</v>
      </c>
      <c r="G471" s="8">
        <f t="shared" si="7"/>
        <v>4</v>
      </c>
    </row>
    <row r="472" spans="1:7" x14ac:dyDescent="0.25">
      <c r="A472" s="7">
        <v>45630</v>
      </c>
      <c r="B472" s="5" t="s">
        <v>34</v>
      </c>
      <c r="C472" s="5" t="s">
        <v>37</v>
      </c>
      <c r="D472" s="5" t="s">
        <v>38</v>
      </c>
      <c r="E472" s="16">
        <v>16380</v>
      </c>
      <c r="F472" s="5" t="s">
        <v>15</v>
      </c>
      <c r="G472" s="8">
        <f t="shared" si="7"/>
        <v>4</v>
      </c>
    </row>
    <row r="473" spans="1:7" x14ac:dyDescent="0.25">
      <c r="A473" s="7">
        <v>45632</v>
      </c>
      <c r="B473" s="5" t="s">
        <v>34</v>
      </c>
      <c r="C473" s="5" t="s">
        <v>37</v>
      </c>
      <c r="D473" s="5" t="s">
        <v>38</v>
      </c>
      <c r="E473" s="16">
        <v>17260</v>
      </c>
      <c r="F473" s="5" t="s">
        <v>15</v>
      </c>
      <c r="G473" s="8">
        <f t="shared" si="7"/>
        <v>4</v>
      </c>
    </row>
    <row r="474" spans="1:7" x14ac:dyDescent="0.25">
      <c r="A474" s="7">
        <v>45633</v>
      </c>
      <c r="B474" s="5" t="s">
        <v>34</v>
      </c>
      <c r="C474" s="5" t="s">
        <v>37</v>
      </c>
      <c r="D474" s="5" t="s">
        <v>38</v>
      </c>
      <c r="E474" s="16">
        <v>18110</v>
      </c>
      <c r="F474" s="5" t="s">
        <v>15</v>
      </c>
      <c r="G474" s="8">
        <f t="shared" si="7"/>
        <v>4</v>
      </c>
    </row>
    <row r="475" spans="1:7" x14ac:dyDescent="0.25">
      <c r="A475" s="6">
        <v>45634</v>
      </c>
      <c r="B475" s="4" t="s">
        <v>12</v>
      </c>
      <c r="C475" s="4" t="s">
        <v>45</v>
      </c>
      <c r="D475" s="4" t="s">
        <v>46</v>
      </c>
      <c r="E475" s="17">
        <v>20538</v>
      </c>
      <c r="F475" s="4" t="s">
        <v>15</v>
      </c>
      <c r="G475" s="8">
        <f t="shared" si="7"/>
        <v>4</v>
      </c>
    </row>
    <row r="476" spans="1:7" x14ac:dyDescent="0.25">
      <c r="A476" s="7">
        <v>45634</v>
      </c>
      <c r="B476" s="5" t="s">
        <v>34</v>
      </c>
      <c r="C476" s="5" t="s">
        <v>37</v>
      </c>
      <c r="D476" s="5" t="s">
        <v>38</v>
      </c>
      <c r="E476" s="16">
        <v>17670</v>
      </c>
      <c r="F476" s="5" t="s">
        <v>15</v>
      </c>
      <c r="G476" s="8">
        <f t="shared" si="7"/>
        <v>4</v>
      </c>
    </row>
    <row r="477" spans="1:7" x14ac:dyDescent="0.25">
      <c r="A477" s="7">
        <v>45635</v>
      </c>
      <c r="B477" s="5" t="s">
        <v>34</v>
      </c>
      <c r="C477" s="5" t="s">
        <v>37</v>
      </c>
      <c r="D477" s="5" t="s">
        <v>38</v>
      </c>
      <c r="E477" s="16">
        <v>18740</v>
      </c>
      <c r="F477" s="5" t="s">
        <v>15</v>
      </c>
      <c r="G477" s="8">
        <f t="shared" si="7"/>
        <v>4</v>
      </c>
    </row>
    <row r="478" spans="1:7" x14ac:dyDescent="0.25">
      <c r="A478" s="7">
        <v>45636</v>
      </c>
      <c r="B478" s="5" t="s">
        <v>34</v>
      </c>
      <c r="C478" s="5" t="s">
        <v>37</v>
      </c>
      <c r="D478" s="5" t="s">
        <v>38</v>
      </c>
      <c r="E478" s="16">
        <v>18010</v>
      </c>
      <c r="F478" s="5" t="s">
        <v>15</v>
      </c>
      <c r="G478" s="8">
        <f t="shared" si="7"/>
        <v>4</v>
      </c>
    </row>
    <row r="479" spans="1:7" x14ac:dyDescent="0.25">
      <c r="A479" s="7">
        <v>45636</v>
      </c>
      <c r="B479" s="5" t="s">
        <v>34</v>
      </c>
      <c r="C479" s="5" t="s">
        <v>37</v>
      </c>
      <c r="D479" s="5" t="s">
        <v>38</v>
      </c>
      <c r="E479" s="16">
        <v>17650</v>
      </c>
      <c r="F479" s="5" t="s">
        <v>15</v>
      </c>
      <c r="G479" s="8">
        <f t="shared" si="7"/>
        <v>4</v>
      </c>
    </row>
    <row r="480" spans="1:7" x14ac:dyDescent="0.25">
      <c r="A480" s="6">
        <v>45637</v>
      </c>
      <c r="B480" s="4" t="s">
        <v>22</v>
      </c>
      <c r="C480" s="4" t="s">
        <v>23</v>
      </c>
      <c r="D480" s="4" t="s">
        <v>24</v>
      </c>
      <c r="E480" s="17">
        <v>10286</v>
      </c>
      <c r="F480" s="4" t="s">
        <v>15</v>
      </c>
      <c r="G480" s="8">
        <f t="shared" si="7"/>
        <v>4</v>
      </c>
    </row>
    <row r="481" spans="1:7" x14ac:dyDescent="0.25">
      <c r="A481" s="7">
        <v>45637</v>
      </c>
      <c r="B481" s="5" t="s">
        <v>34</v>
      </c>
      <c r="C481" s="5" t="s">
        <v>37</v>
      </c>
      <c r="D481" s="5" t="s">
        <v>38</v>
      </c>
      <c r="E481" s="16">
        <v>17490</v>
      </c>
      <c r="F481" s="5" t="s">
        <v>15</v>
      </c>
      <c r="G481" s="8">
        <f t="shared" si="7"/>
        <v>4</v>
      </c>
    </row>
    <row r="482" spans="1:7" x14ac:dyDescent="0.25">
      <c r="A482" s="7">
        <v>45637</v>
      </c>
      <c r="B482" s="5" t="s">
        <v>34</v>
      </c>
      <c r="C482" s="5" t="s">
        <v>37</v>
      </c>
      <c r="D482" s="5" t="s">
        <v>38</v>
      </c>
      <c r="E482" s="16">
        <v>18120</v>
      </c>
      <c r="F482" s="5" t="s">
        <v>15</v>
      </c>
      <c r="G482" s="8">
        <f t="shared" si="7"/>
        <v>4</v>
      </c>
    </row>
    <row r="483" spans="1:7" x14ac:dyDescent="0.25">
      <c r="A483" s="6">
        <v>45638</v>
      </c>
      <c r="B483" s="4" t="s">
        <v>25</v>
      </c>
      <c r="C483" s="4" t="s">
        <v>41</v>
      </c>
      <c r="D483" s="4" t="s">
        <v>42</v>
      </c>
      <c r="E483" s="17">
        <v>20520</v>
      </c>
      <c r="F483" s="4" t="s">
        <v>21</v>
      </c>
      <c r="G483" s="8">
        <f t="shared" si="7"/>
        <v>4</v>
      </c>
    </row>
    <row r="484" spans="1:7" x14ac:dyDescent="0.25">
      <c r="A484" s="7">
        <v>45638</v>
      </c>
      <c r="B484" s="5" t="s">
        <v>34</v>
      </c>
      <c r="C484" s="5" t="s">
        <v>37</v>
      </c>
      <c r="D484" s="5" t="s">
        <v>38</v>
      </c>
      <c r="E484" s="16">
        <v>18230</v>
      </c>
      <c r="F484" s="5" t="s">
        <v>15</v>
      </c>
      <c r="G484" s="8">
        <f t="shared" si="7"/>
        <v>4</v>
      </c>
    </row>
    <row r="485" spans="1:7" x14ac:dyDescent="0.25">
      <c r="A485" s="7">
        <v>45638</v>
      </c>
      <c r="B485" s="5" t="s">
        <v>34</v>
      </c>
      <c r="C485" s="5" t="s">
        <v>37</v>
      </c>
      <c r="D485" s="5" t="s">
        <v>38</v>
      </c>
      <c r="E485" s="16">
        <v>18050</v>
      </c>
      <c r="F485" s="5" t="s">
        <v>15</v>
      </c>
      <c r="G485" s="8">
        <f t="shared" si="7"/>
        <v>4</v>
      </c>
    </row>
    <row r="486" spans="1:7" x14ac:dyDescent="0.25">
      <c r="A486" s="7">
        <v>45638</v>
      </c>
      <c r="B486" s="5" t="s">
        <v>34</v>
      </c>
      <c r="C486" s="5" t="s">
        <v>37</v>
      </c>
      <c r="D486" s="5" t="s">
        <v>38</v>
      </c>
      <c r="E486" s="16">
        <v>18100</v>
      </c>
      <c r="F486" s="5" t="s">
        <v>15</v>
      </c>
      <c r="G486" s="8">
        <f t="shared" si="7"/>
        <v>4</v>
      </c>
    </row>
    <row r="487" spans="1:7" x14ac:dyDescent="0.25">
      <c r="A487" s="7">
        <v>45639</v>
      </c>
      <c r="B487" s="5" t="s">
        <v>34</v>
      </c>
      <c r="C487" s="5" t="s">
        <v>37</v>
      </c>
      <c r="D487" s="5" t="s">
        <v>38</v>
      </c>
      <c r="E487" s="16">
        <v>17900</v>
      </c>
      <c r="F487" s="5" t="s">
        <v>15</v>
      </c>
      <c r="G487" s="8">
        <f t="shared" si="7"/>
        <v>4</v>
      </c>
    </row>
    <row r="488" spans="1:7" x14ac:dyDescent="0.25">
      <c r="A488" s="7">
        <v>45639</v>
      </c>
      <c r="B488" s="5" t="s">
        <v>34</v>
      </c>
      <c r="C488" s="5" t="s">
        <v>37</v>
      </c>
      <c r="D488" s="5" t="s">
        <v>38</v>
      </c>
      <c r="E488" s="16">
        <v>17690</v>
      </c>
      <c r="F488" s="5" t="s">
        <v>15</v>
      </c>
      <c r="G488" s="8">
        <f t="shared" si="7"/>
        <v>4</v>
      </c>
    </row>
    <row r="489" spans="1:7" x14ac:dyDescent="0.25">
      <c r="A489" s="7">
        <v>45639</v>
      </c>
      <c r="B489" s="5" t="s">
        <v>34</v>
      </c>
      <c r="C489" s="5" t="s">
        <v>37</v>
      </c>
      <c r="D489" s="5" t="s">
        <v>38</v>
      </c>
      <c r="E489" s="16">
        <v>17990</v>
      </c>
      <c r="F489" s="5" t="s">
        <v>15</v>
      </c>
      <c r="G489" s="8">
        <f t="shared" si="7"/>
        <v>4</v>
      </c>
    </row>
    <row r="490" spans="1:7" x14ac:dyDescent="0.25">
      <c r="A490" s="7">
        <v>45639</v>
      </c>
      <c r="B490" s="5" t="s">
        <v>34</v>
      </c>
      <c r="C490" s="5" t="s">
        <v>37</v>
      </c>
      <c r="D490" s="5" t="s">
        <v>38</v>
      </c>
      <c r="E490" s="16">
        <v>17770</v>
      </c>
      <c r="F490" s="5" t="s">
        <v>15</v>
      </c>
      <c r="G490" s="8">
        <f t="shared" si="7"/>
        <v>4</v>
      </c>
    </row>
    <row r="491" spans="1:7" x14ac:dyDescent="0.25">
      <c r="A491" s="7">
        <v>45639</v>
      </c>
      <c r="B491" s="5" t="s">
        <v>34</v>
      </c>
      <c r="C491" s="5" t="s">
        <v>37</v>
      </c>
      <c r="D491" s="5" t="s">
        <v>38</v>
      </c>
      <c r="E491" s="16">
        <v>17900</v>
      </c>
      <c r="F491" s="5" t="s">
        <v>15</v>
      </c>
      <c r="G491" s="8">
        <f t="shared" si="7"/>
        <v>4</v>
      </c>
    </row>
    <row r="492" spans="1:7" x14ac:dyDescent="0.25">
      <c r="A492" s="7">
        <v>45640</v>
      </c>
      <c r="B492" s="5" t="s">
        <v>34</v>
      </c>
      <c r="C492" s="5" t="s">
        <v>37</v>
      </c>
      <c r="D492" s="5" t="s">
        <v>38</v>
      </c>
      <c r="E492" s="16">
        <v>18340</v>
      </c>
      <c r="F492" s="5" t="s">
        <v>15</v>
      </c>
      <c r="G492" s="8">
        <f t="shared" si="7"/>
        <v>4</v>
      </c>
    </row>
    <row r="493" spans="1:7" x14ac:dyDescent="0.25">
      <c r="A493" s="7">
        <v>45640</v>
      </c>
      <c r="B493" s="5" t="s">
        <v>34</v>
      </c>
      <c r="C493" s="5" t="s">
        <v>37</v>
      </c>
      <c r="D493" s="5" t="s">
        <v>38</v>
      </c>
      <c r="E493" s="16">
        <v>18250</v>
      </c>
      <c r="F493" s="5" t="s">
        <v>15</v>
      </c>
      <c r="G493" s="8">
        <f t="shared" si="7"/>
        <v>4</v>
      </c>
    </row>
    <row r="494" spans="1:7" x14ac:dyDescent="0.25">
      <c r="A494" s="7">
        <v>45640</v>
      </c>
      <c r="B494" s="5" t="s">
        <v>34</v>
      </c>
      <c r="C494" s="5" t="s">
        <v>37</v>
      </c>
      <c r="D494" s="5" t="s">
        <v>38</v>
      </c>
      <c r="E494" s="16">
        <v>18500</v>
      </c>
      <c r="F494" s="5" t="s">
        <v>15</v>
      </c>
      <c r="G494" s="8">
        <f t="shared" si="7"/>
        <v>4</v>
      </c>
    </row>
    <row r="495" spans="1:7" x14ac:dyDescent="0.25">
      <c r="A495" s="7">
        <v>45640</v>
      </c>
      <c r="B495" s="5" t="s">
        <v>34</v>
      </c>
      <c r="C495" s="5" t="s">
        <v>37</v>
      </c>
      <c r="D495" s="5" t="s">
        <v>38</v>
      </c>
      <c r="E495" s="16">
        <v>18300</v>
      </c>
      <c r="F495" s="5" t="s">
        <v>15</v>
      </c>
      <c r="G495" s="8">
        <f t="shared" si="7"/>
        <v>4</v>
      </c>
    </row>
    <row r="496" spans="1:7" x14ac:dyDescent="0.25">
      <c r="A496" s="6">
        <v>45647</v>
      </c>
      <c r="B496" s="4" t="s">
        <v>25</v>
      </c>
      <c r="C496" s="4" t="s">
        <v>26</v>
      </c>
      <c r="D496" s="4" t="s">
        <v>27</v>
      </c>
      <c r="E496" s="17">
        <v>35275</v>
      </c>
      <c r="F496" s="4" t="s">
        <v>15</v>
      </c>
      <c r="G496" s="8">
        <f t="shared" si="7"/>
        <v>4</v>
      </c>
    </row>
    <row r="497" spans="1:7" x14ac:dyDescent="0.25">
      <c r="A497" s="6">
        <v>45652</v>
      </c>
      <c r="B497" s="4" t="s">
        <v>25</v>
      </c>
      <c r="C497" s="4" t="s">
        <v>26</v>
      </c>
      <c r="D497" s="4" t="s">
        <v>27</v>
      </c>
      <c r="E497" s="17">
        <v>44778</v>
      </c>
      <c r="F497" s="4" t="s">
        <v>15</v>
      </c>
      <c r="G497" s="8">
        <f t="shared" si="7"/>
        <v>4</v>
      </c>
    </row>
    <row r="498" spans="1:7" x14ac:dyDescent="0.25">
      <c r="A498" s="6">
        <v>45652</v>
      </c>
      <c r="B498" s="4" t="s">
        <v>12</v>
      </c>
      <c r="C498" s="4" t="s">
        <v>16</v>
      </c>
      <c r="D498" s="4" t="s">
        <v>17</v>
      </c>
      <c r="E498" s="17">
        <v>45260</v>
      </c>
      <c r="F498" s="4" t="s">
        <v>15</v>
      </c>
      <c r="G498" s="8">
        <f t="shared" si="7"/>
        <v>4</v>
      </c>
    </row>
    <row r="499" spans="1:7" x14ac:dyDescent="0.25">
      <c r="A499" s="7">
        <v>45655</v>
      </c>
      <c r="B499" s="5" t="s">
        <v>18</v>
      </c>
      <c r="C499" s="5" t="s">
        <v>19</v>
      </c>
      <c r="D499" s="5" t="s">
        <v>20</v>
      </c>
      <c r="E499" s="16">
        <v>142650</v>
      </c>
      <c r="F499" s="5" t="s">
        <v>21</v>
      </c>
      <c r="G499" s="8">
        <f t="shared" si="7"/>
        <v>4</v>
      </c>
    </row>
    <row r="500" spans="1:7" x14ac:dyDescent="0.25">
      <c r="A500" s="12">
        <v>45657</v>
      </c>
      <c r="B500" s="13" t="s">
        <v>18</v>
      </c>
      <c r="C500" s="13" t="s">
        <v>19</v>
      </c>
      <c r="D500" s="13" t="s">
        <v>20</v>
      </c>
      <c r="E500" s="18">
        <v>139250</v>
      </c>
      <c r="F500" s="13" t="s">
        <v>21</v>
      </c>
      <c r="G500" s="14">
        <f t="shared" si="7"/>
        <v>4</v>
      </c>
    </row>
  </sheetData>
  <dataValidations count="2">
    <dataValidation type="list" allowBlank="1" showInputMessage="1" showErrorMessage="1" sqref="B2:B500" xr:uid="{2404A6F7-0373-43FA-9E88-DE2FBA05E6CB}">
      <formula1>"HR, Sales, IT, Admin, Finance"</formula1>
    </dataValidation>
    <dataValidation type="list" allowBlank="1" showInputMessage="1" showErrorMessage="1" sqref="F2:F500" xr:uid="{54FD4F4B-65F9-4B84-96F3-13AC44023DCC}">
      <formula1>"Expense, Income"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F5CE0-FCD8-4928-B906-B3420F274523}">
  <sheetPr codeName="Sheet4"/>
  <dimension ref="A1:S91"/>
  <sheetViews>
    <sheetView workbookViewId="0">
      <selection activeCell="F8" sqref="F8"/>
    </sheetView>
  </sheetViews>
  <sheetFormatPr defaultRowHeight="15" x14ac:dyDescent="0.25"/>
  <cols>
    <col min="1" max="1" width="15.42578125" style="20" bestFit="1" customWidth="1"/>
    <col min="2" max="2" width="17.5703125" style="20" bestFit="1" customWidth="1"/>
    <col min="3" max="6" width="13.140625" style="20" bestFit="1" customWidth="1"/>
    <col min="7" max="7" width="14.85546875" style="20" bestFit="1" customWidth="1"/>
    <col min="8" max="8" width="15.42578125" style="20" bestFit="1" customWidth="1"/>
    <col min="9" max="9" width="16.5703125" style="20" bestFit="1" customWidth="1"/>
    <col min="10" max="10" width="15.42578125" style="20" bestFit="1" customWidth="1"/>
    <col min="11" max="11" width="16.5703125" style="20" bestFit="1" customWidth="1"/>
    <col min="12" max="12" width="21" style="20" bestFit="1" customWidth="1"/>
    <col min="13" max="13" width="22.28515625" style="20" bestFit="1" customWidth="1"/>
    <col min="14" max="14" width="15.42578125" style="20" bestFit="1" customWidth="1"/>
    <col min="15" max="15" width="18" style="20" bestFit="1" customWidth="1"/>
    <col min="16" max="16" width="17.85546875" style="20" bestFit="1" customWidth="1"/>
    <col min="17" max="17" width="21" style="20" bestFit="1" customWidth="1"/>
    <col min="18" max="18" width="23.5703125" style="20" bestFit="1" customWidth="1"/>
    <col min="19" max="19" width="23.42578125" style="20" bestFit="1" customWidth="1"/>
    <col min="20" max="20" width="12.7109375" style="20" bestFit="1" customWidth="1"/>
    <col min="21" max="21" width="9" style="20" bestFit="1" customWidth="1"/>
    <col min="22" max="22" width="8" style="20" bestFit="1" customWidth="1"/>
    <col min="23" max="23" width="11.85546875" style="20" bestFit="1" customWidth="1"/>
    <col min="24" max="24" width="9.5703125" style="20" bestFit="1" customWidth="1"/>
    <col min="25" max="25" width="9.28515625" style="20" bestFit="1" customWidth="1"/>
    <col min="26" max="26" width="8.85546875" style="20" bestFit="1" customWidth="1"/>
    <col min="27" max="27" width="10.42578125" style="20" bestFit="1" customWidth="1"/>
    <col min="28" max="28" width="11.28515625" style="20" bestFit="1" customWidth="1"/>
    <col min="29" max="16384" width="9.140625" style="20"/>
  </cols>
  <sheetData>
    <row r="1" spans="1:19" x14ac:dyDescent="0.25">
      <c r="A1"/>
      <c r="B1"/>
    </row>
    <row r="3" spans="1:19" x14ac:dyDescent="0.25">
      <c r="A3" s="21" t="s">
        <v>69</v>
      </c>
      <c r="B3" s="21" t="s">
        <v>68</v>
      </c>
      <c r="H3"/>
      <c r="I3"/>
      <c r="J3"/>
      <c r="K3"/>
      <c r="L3"/>
      <c r="M3"/>
      <c r="N3"/>
      <c r="O3"/>
      <c r="P3"/>
      <c r="Q3"/>
      <c r="R3"/>
      <c r="S3"/>
    </row>
    <row r="4" spans="1:19" x14ac:dyDescent="0.25">
      <c r="A4" s="21" t="s">
        <v>66</v>
      </c>
      <c r="B4" s="20" t="s">
        <v>34</v>
      </c>
      <c r="C4" s="20" t="s">
        <v>25</v>
      </c>
      <c r="D4" s="20" t="s">
        <v>12</v>
      </c>
      <c r="E4" s="20" t="s">
        <v>22</v>
      </c>
      <c r="F4" s="20" t="s">
        <v>18</v>
      </c>
      <c r="G4" s="20" t="s">
        <v>67</v>
      </c>
      <c r="H4"/>
      <c r="I4"/>
      <c r="J4"/>
      <c r="K4"/>
      <c r="L4"/>
      <c r="M4"/>
      <c r="N4"/>
      <c r="O4"/>
      <c r="P4"/>
      <c r="Q4"/>
      <c r="R4"/>
      <c r="S4"/>
    </row>
    <row r="5" spans="1:19" x14ac:dyDescent="0.25">
      <c r="A5" s="22" t="s">
        <v>21</v>
      </c>
      <c r="C5" s="20">
        <v>5786962</v>
      </c>
      <c r="F5" s="20">
        <v>4801964</v>
      </c>
      <c r="G5" s="20">
        <v>10588926</v>
      </c>
      <c r="H5"/>
      <c r="I5"/>
      <c r="J5"/>
      <c r="K5"/>
      <c r="L5"/>
      <c r="M5"/>
      <c r="N5"/>
      <c r="O5"/>
      <c r="P5"/>
      <c r="Q5"/>
      <c r="R5"/>
      <c r="S5"/>
    </row>
    <row r="6" spans="1:19" x14ac:dyDescent="0.25">
      <c r="A6" s="22" t="s">
        <v>15</v>
      </c>
      <c r="B6" s="20">
        <v>2516634</v>
      </c>
      <c r="C6" s="20">
        <v>724798</v>
      </c>
      <c r="D6" s="20">
        <v>2370086</v>
      </c>
      <c r="E6" s="20">
        <v>2503029</v>
      </c>
      <c r="F6" s="20">
        <v>976172</v>
      </c>
      <c r="G6" s="20">
        <v>9090719</v>
      </c>
      <c r="H6"/>
      <c r="I6"/>
      <c r="J6"/>
      <c r="K6"/>
      <c r="L6"/>
      <c r="M6"/>
      <c r="N6"/>
      <c r="O6"/>
      <c r="P6"/>
      <c r="Q6"/>
      <c r="R6"/>
      <c r="S6"/>
    </row>
    <row r="7" spans="1:19" x14ac:dyDescent="0.25">
      <c r="A7" s="22" t="s">
        <v>67</v>
      </c>
      <c r="B7" s="23">
        <v>2516634</v>
      </c>
      <c r="C7" s="23">
        <v>6511760</v>
      </c>
      <c r="D7" s="23">
        <v>2370086</v>
      </c>
      <c r="E7" s="23">
        <v>2503029</v>
      </c>
      <c r="F7" s="23">
        <v>5778136</v>
      </c>
      <c r="G7" s="23">
        <v>19679645</v>
      </c>
      <c r="H7"/>
      <c r="I7"/>
      <c r="J7"/>
      <c r="K7"/>
      <c r="L7"/>
      <c r="M7"/>
      <c r="N7"/>
      <c r="O7"/>
      <c r="P7"/>
      <c r="Q7"/>
      <c r="R7"/>
      <c r="S7"/>
    </row>
    <row r="8" spans="1:19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19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spans="1:19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spans="1:19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19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1:19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19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5">
      <c r="A43"/>
      <c r="B43"/>
      <c r="C43"/>
      <c r="D43"/>
    </row>
    <row r="44" spans="1:19" x14ac:dyDescent="0.25">
      <c r="A44"/>
      <c r="B44"/>
      <c r="C44"/>
      <c r="D44"/>
    </row>
    <row r="45" spans="1:19" x14ac:dyDescent="0.25">
      <c r="A45"/>
      <c r="B45"/>
      <c r="C45"/>
      <c r="D45"/>
    </row>
    <row r="46" spans="1:19" x14ac:dyDescent="0.25">
      <c r="A46"/>
      <c r="B46"/>
      <c r="C46"/>
      <c r="D46"/>
    </row>
    <row r="47" spans="1:19" x14ac:dyDescent="0.25">
      <c r="A47"/>
      <c r="B47"/>
      <c r="C47"/>
      <c r="D47"/>
    </row>
    <row r="48" spans="1:19" x14ac:dyDescent="0.25">
      <c r="A48"/>
      <c r="B48"/>
      <c r="C48"/>
      <c r="D48"/>
    </row>
    <row r="49" spans="1:4" x14ac:dyDescent="0.25">
      <c r="A49"/>
      <c r="B49"/>
      <c r="C49"/>
      <c r="D49"/>
    </row>
    <row r="50" spans="1:4" x14ac:dyDescent="0.25">
      <c r="A50"/>
      <c r="B50"/>
      <c r="C50"/>
      <c r="D50"/>
    </row>
    <row r="51" spans="1:4" x14ac:dyDescent="0.25">
      <c r="A51"/>
      <c r="B51"/>
      <c r="C51"/>
      <c r="D51"/>
    </row>
    <row r="52" spans="1:4" x14ac:dyDescent="0.25">
      <c r="A52"/>
      <c r="B52"/>
      <c r="C52"/>
      <c r="D52"/>
    </row>
    <row r="53" spans="1:4" x14ac:dyDescent="0.25">
      <c r="A53"/>
      <c r="B53"/>
      <c r="C53"/>
      <c r="D53"/>
    </row>
    <row r="54" spans="1:4" x14ac:dyDescent="0.25">
      <c r="A54"/>
      <c r="B54"/>
      <c r="C54"/>
      <c r="D54"/>
    </row>
    <row r="55" spans="1:4" x14ac:dyDescent="0.25">
      <c r="A55"/>
      <c r="B55"/>
      <c r="C55"/>
      <c r="D55"/>
    </row>
    <row r="56" spans="1:4" x14ac:dyDescent="0.25">
      <c r="A56"/>
      <c r="B56"/>
      <c r="C56"/>
      <c r="D56"/>
    </row>
    <row r="57" spans="1:4" x14ac:dyDescent="0.25">
      <c r="A57"/>
      <c r="B57"/>
      <c r="C57"/>
      <c r="D57"/>
    </row>
    <row r="58" spans="1:4" x14ac:dyDescent="0.25">
      <c r="A58"/>
      <c r="B58"/>
      <c r="C58"/>
      <c r="D58"/>
    </row>
    <row r="59" spans="1:4" x14ac:dyDescent="0.25">
      <c r="A59"/>
      <c r="B59"/>
      <c r="C59"/>
      <c r="D59"/>
    </row>
    <row r="60" spans="1:4" x14ac:dyDescent="0.25">
      <c r="A60"/>
      <c r="B60"/>
      <c r="C60"/>
      <c r="D60"/>
    </row>
    <row r="61" spans="1:4" x14ac:dyDescent="0.25">
      <c r="A61"/>
      <c r="B61"/>
      <c r="C61"/>
      <c r="D61"/>
    </row>
    <row r="62" spans="1:4" x14ac:dyDescent="0.25">
      <c r="A62"/>
      <c r="B62"/>
      <c r="C62"/>
      <c r="D62"/>
    </row>
    <row r="63" spans="1:4" x14ac:dyDescent="0.25">
      <c r="A63"/>
      <c r="B63"/>
      <c r="C63"/>
      <c r="D63"/>
    </row>
    <row r="64" spans="1:4" x14ac:dyDescent="0.25">
      <c r="A64"/>
      <c r="B64"/>
      <c r="C64"/>
      <c r="D64"/>
    </row>
    <row r="65" spans="1:4" x14ac:dyDescent="0.25">
      <c r="A65"/>
      <c r="B65"/>
      <c r="C65"/>
      <c r="D65"/>
    </row>
    <row r="66" spans="1:4" x14ac:dyDescent="0.25">
      <c r="A66"/>
      <c r="B66"/>
      <c r="C66"/>
      <c r="D66"/>
    </row>
    <row r="67" spans="1:4" x14ac:dyDescent="0.25">
      <c r="A67"/>
      <c r="B67"/>
      <c r="C67"/>
      <c r="D67"/>
    </row>
    <row r="68" spans="1:4" x14ac:dyDescent="0.25">
      <c r="A68"/>
      <c r="B68"/>
      <c r="C68"/>
      <c r="D68"/>
    </row>
    <row r="69" spans="1:4" x14ac:dyDescent="0.25">
      <c r="A69"/>
      <c r="B69"/>
      <c r="C69"/>
      <c r="D69"/>
    </row>
    <row r="70" spans="1:4" x14ac:dyDescent="0.25">
      <c r="A70"/>
      <c r="B70"/>
      <c r="C70"/>
      <c r="D70"/>
    </row>
    <row r="71" spans="1:4" x14ac:dyDescent="0.25">
      <c r="A71"/>
      <c r="B71"/>
      <c r="C71"/>
      <c r="D71"/>
    </row>
    <row r="72" spans="1:4" x14ac:dyDescent="0.25">
      <c r="A72"/>
      <c r="B72"/>
      <c r="C72"/>
      <c r="D72"/>
    </row>
    <row r="73" spans="1:4" x14ac:dyDescent="0.25">
      <c r="A73"/>
      <c r="B73"/>
      <c r="C73"/>
      <c r="D73"/>
    </row>
    <row r="74" spans="1:4" x14ac:dyDescent="0.25">
      <c r="A74"/>
      <c r="B74"/>
      <c r="C74"/>
      <c r="D74"/>
    </row>
    <row r="75" spans="1:4" x14ac:dyDescent="0.25">
      <c r="A75"/>
      <c r="B75"/>
      <c r="C75"/>
      <c r="D75"/>
    </row>
    <row r="76" spans="1:4" x14ac:dyDescent="0.25">
      <c r="A76"/>
      <c r="B76"/>
      <c r="C76"/>
      <c r="D76"/>
    </row>
    <row r="77" spans="1:4" x14ac:dyDescent="0.25">
      <c r="A77"/>
      <c r="B77"/>
      <c r="C77"/>
      <c r="D77"/>
    </row>
    <row r="78" spans="1:4" x14ac:dyDescent="0.25">
      <c r="A78"/>
      <c r="B78"/>
      <c r="C78"/>
      <c r="D78"/>
    </row>
    <row r="79" spans="1:4" x14ac:dyDescent="0.25">
      <c r="A79"/>
      <c r="B79"/>
      <c r="C79"/>
      <c r="D79"/>
    </row>
    <row r="80" spans="1:4" x14ac:dyDescent="0.25">
      <c r="A80"/>
      <c r="B80"/>
      <c r="C80"/>
      <c r="D80"/>
    </row>
    <row r="81" spans="1:4" x14ac:dyDescent="0.25">
      <c r="A81"/>
      <c r="B81"/>
      <c r="C81"/>
      <c r="D81"/>
    </row>
    <row r="82" spans="1:4" x14ac:dyDescent="0.25">
      <c r="A82"/>
      <c r="B82"/>
      <c r="C82"/>
      <c r="D82"/>
    </row>
    <row r="83" spans="1:4" x14ac:dyDescent="0.25">
      <c r="A83"/>
      <c r="B83"/>
      <c r="C83"/>
      <c r="D83"/>
    </row>
    <row r="84" spans="1:4" x14ac:dyDescent="0.25">
      <c r="A84"/>
      <c r="B84"/>
      <c r="C84"/>
      <c r="D84"/>
    </row>
    <row r="85" spans="1:4" x14ac:dyDescent="0.25">
      <c r="A85"/>
      <c r="B85"/>
      <c r="C85"/>
      <c r="D85"/>
    </row>
    <row r="86" spans="1:4" x14ac:dyDescent="0.25">
      <c r="A86"/>
      <c r="B86"/>
      <c r="C86"/>
      <c r="D86"/>
    </row>
    <row r="87" spans="1:4" x14ac:dyDescent="0.25">
      <c r="A87"/>
      <c r="B87"/>
      <c r="C87"/>
      <c r="D87"/>
    </row>
    <row r="88" spans="1:4" x14ac:dyDescent="0.25">
      <c r="A88"/>
      <c r="B88"/>
      <c r="C88"/>
      <c r="D88"/>
    </row>
    <row r="89" spans="1:4" x14ac:dyDescent="0.25">
      <c r="A89"/>
      <c r="B89"/>
      <c r="C89"/>
      <c r="D89"/>
    </row>
    <row r="90" spans="1:4" x14ac:dyDescent="0.25">
      <c r="A90"/>
      <c r="B90"/>
      <c r="C90"/>
      <c r="D90"/>
    </row>
    <row r="91" spans="1:4" x14ac:dyDescent="0.25">
      <c r="A91"/>
      <c r="B91"/>
      <c r="C91"/>
      <c r="D91"/>
    </row>
  </sheetData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E9E6E-7B43-43A6-B60A-FE33A6FC99BB}">
  <sheetPr codeName="Sheet5">
    <pageSetUpPr fitToPage="1"/>
  </sheetPr>
  <dimension ref="A1:V34"/>
  <sheetViews>
    <sheetView tabSelected="1" zoomScale="58" zoomScaleNormal="58" workbookViewId="0">
      <selection activeCell="F27" sqref="F27"/>
    </sheetView>
  </sheetViews>
  <sheetFormatPr defaultRowHeight="15" x14ac:dyDescent="0.25"/>
  <cols>
    <col min="1" max="1" width="29.5703125" style="30" customWidth="1"/>
    <col min="2" max="2" width="23.5703125" style="30" bestFit="1" customWidth="1"/>
    <col min="3" max="3" width="9.140625" style="30"/>
    <col min="4" max="4" width="17.85546875" style="30" bestFit="1" customWidth="1"/>
    <col min="5" max="5" width="23.5703125" style="30" bestFit="1" customWidth="1"/>
    <col min="6" max="16384" width="9.140625" style="30"/>
  </cols>
  <sheetData>
    <row r="1" spans="1:22" ht="15" customHeight="1" x14ac:dyDescent="0.25">
      <c r="A1" s="64" t="s">
        <v>64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5"/>
      <c r="U1" s="43"/>
      <c r="V1" s="41"/>
    </row>
    <row r="2" spans="1:22" ht="15" customHeight="1" x14ac:dyDescent="0.25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5"/>
      <c r="U2" s="43"/>
      <c r="V2" s="41"/>
    </row>
    <row r="3" spans="1:22" ht="15" customHeight="1" x14ac:dyDescent="0.2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5"/>
      <c r="U3" s="43"/>
      <c r="V3" s="41"/>
    </row>
    <row r="4" spans="1:22" ht="25.5" customHeight="1" x14ac:dyDescent="0.25">
      <c r="A4" s="55" t="s">
        <v>71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6" t="s">
        <v>73</v>
      </c>
      <c r="N4" s="57"/>
      <c r="O4" s="57"/>
      <c r="P4" s="57"/>
      <c r="Q4" s="57"/>
      <c r="R4" s="57"/>
      <c r="S4" s="57"/>
      <c r="T4" s="57"/>
      <c r="U4" s="44"/>
      <c r="V4" s="42"/>
    </row>
    <row r="5" spans="1:22" ht="20.25" x14ac:dyDescent="0.25">
      <c r="A5" s="45" t="s">
        <v>72</v>
      </c>
      <c r="B5" s="60">
        <v>2</v>
      </c>
      <c r="C5" s="49"/>
      <c r="D5" s="48" t="s">
        <v>8</v>
      </c>
      <c r="E5" s="47" t="s">
        <v>51</v>
      </c>
      <c r="F5" s="31"/>
      <c r="G5" s="31"/>
      <c r="H5" s="37"/>
      <c r="I5" s="37"/>
      <c r="L5" s="33"/>
      <c r="O5" s="37"/>
      <c r="T5" s="32"/>
      <c r="U5" s="37"/>
      <c r="V5" s="37"/>
    </row>
    <row r="6" spans="1:22" ht="20.25" customHeight="1" x14ac:dyDescent="0.25">
      <c r="A6" s="46" t="s">
        <v>49</v>
      </c>
      <c r="B6" s="61" t="s">
        <v>18</v>
      </c>
      <c r="D6" s="58" t="str" cm="1">
        <f t="array" ref="D6:D21">_xlfn.UNIQUE(_xlfn._xlws.FILTER(SampleData!C2:C500, SampleData!F2:F500="Expense"))</f>
        <v>Recruitment</v>
      </c>
      <c r="E6" s="59" t="e">
        <f>IF(SUMIFS(SampleData!E:E, SampleData!C:C, D6, SampleData!G:G, $B$5, SampleData!B:B, $B$6, SampleData!F:F, "Expense") = 0, NA(), SUMIFS(SampleData!E:E, SampleData!C:C, D6, SampleData!G:G, $B$5, SampleData!B:B, $B$6, SampleData!F:F, "Expense"))</f>
        <v>#N/A</v>
      </c>
      <c r="H6" s="37"/>
      <c r="I6" s="37"/>
      <c r="L6" s="33"/>
      <c r="O6" s="37"/>
      <c r="T6" s="33"/>
      <c r="U6" s="37"/>
      <c r="V6" s="37"/>
    </row>
    <row r="7" spans="1:22" ht="20.25" customHeight="1" x14ac:dyDescent="0.25">
      <c r="A7" s="46" t="s">
        <v>52</v>
      </c>
      <c r="B7" s="62">
        <f>SUMIFS(SampleData!E:E, SampleData!F:F, "Income", SampleData!B:B, B6, SampleData!G:G, B5)</f>
        <v>88484</v>
      </c>
      <c r="D7" s="58" t="str">
        <v>Training</v>
      </c>
      <c r="E7" s="59" t="e">
        <f>IF(SUMIFS(SampleData!E:E, SampleData!C:C, D7, SampleData!G:G, $B$5, SampleData!B:B, $B$6, SampleData!F:F, "Expense") = 0, NA(), SUMIFS(SampleData!E:E, SampleData!C:C, D7, SampleData!G:G, $B$5, SampleData!B:B, $B$6, SampleData!F:F, "Expense"))</f>
        <v>#N/A</v>
      </c>
      <c r="H7" s="37"/>
      <c r="I7" s="37"/>
      <c r="L7" s="33"/>
      <c r="O7" s="37"/>
      <c r="T7" s="33"/>
      <c r="U7" s="37"/>
      <c r="V7" s="37"/>
    </row>
    <row r="8" spans="1:22" ht="21" customHeight="1" x14ac:dyDescent="0.25">
      <c r="A8" s="46" t="s">
        <v>51</v>
      </c>
      <c r="B8" s="62">
        <f>SUMIFS(SampleData!E:E, SampleData!F:F, "Expense", SampleData!B:B, B6, SampleData!G:G, B5)</f>
        <v>237346</v>
      </c>
      <c r="D8" s="58" t="str">
        <v>Utilities</v>
      </c>
      <c r="E8" s="59" t="e">
        <f>IF(SUMIFS(SampleData!E:E, SampleData!C:C, D8, SampleData!G:G, $B$5, SampleData!B:B, $B$6, SampleData!F:F, "Expense") = 0, NA(), SUMIFS(SampleData!E:E, SampleData!C:C, D8, SampleData!G:G, $B$5, SampleData!B:B, $B$6, SampleData!F:F, "Expense"))</f>
        <v>#N/A</v>
      </c>
      <c r="H8" s="37"/>
      <c r="I8" s="37"/>
      <c r="L8" s="33"/>
      <c r="O8" s="37"/>
      <c r="T8" s="33"/>
    </row>
    <row r="9" spans="1:22" ht="21" customHeight="1" x14ac:dyDescent="0.25">
      <c r="A9" s="46" t="s">
        <v>50</v>
      </c>
      <c r="B9" s="63">
        <f>B7-B8</f>
        <v>-148862</v>
      </c>
      <c r="D9" s="58" t="str">
        <v>Salary</v>
      </c>
      <c r="E9" s="59" t="e">
        <f>IF(SUMIFS(SampleData!E:E, SampleData!C:C, D9, SampleData!G:G, $B$5, SampleData!B:B, $B$6, SampleData!F:F, "Expense") = 0, NA(), SUMIFS(SampleData!E:E, SampleData!C:C, D9, SampleData!G:G, $B$5, SampleData!B:B, $B$6, SampleData!F:F, "Expense"))</f>
        <v>#N/A</v>
      </c>
      <c r="H9" s="37"/>
      <c r="I9" s="37"/>
      <c r="L9" s="33"/>
      <c r="O9" s="37"/>
      <c r="T9" s="33"/>
    </row>
    <row r="10" spans="1:22" ht="15.75" x14ac:dyDescent="0.25">
      <c r="D10" s="58" t="str">
        <v>Office Supplies</v>
      </c>
      <c r="E10" s="59" t="e">
        <f>IF(SUMIFS(SampleData!E:E, SampleData!C:C, D10, SampleData!G:G, $B$5, SampleData!B:B, $B$6, SampleData!F:F, "Expense") = 0, NA(), SUMIFS(SampleData!E:E, SampleData!C:C, D10, SampleData!G:G, $B$5, SampleData!B:B, $B$6, SampleData!F:F, "Expense"))</f>
        <v>#N/A</v>
      </c>
      <c r="H10" s="37"/>
      <c r="I10" s="37"/>
      <c r="L10" s="33"/>
      <c r="O10" s="37"/>
      <c r="T10" s="33"/>
    </row>
    <row r="11" spans="1:22" ht="21.75" customHeight="1" x14ac:dyDescent="0.25">
      <c r="D11" s="58" t="str">
        <v>Rent</v>
      </c>
      <c r="E11" s="59" t="e">
        <f>IF(SUMIFS(SampleData!E:E, SampleData!C:C, D11, SampleData!G:G, $B$5, SampleData!B:B, $B$6, SampleData!F:F, "Expense") = 0, NA(), SUMIFS(SampleData!E:E, SampleData!C:C, D11, SampleData!G:G, $B$5, SampleData!B:B, $B$6, SampleData!F:F, "Expense"))</f>
        <v>#N/A</v>
      </c>
      <c r="H11" s="37"/>
      <c r="I11" s="37"/>
      <c r="L11" s="33"/>
      <c r="O11" s="37"/>
      <c r="T11" s="33"/>
    </row>
    <row r="12" spans="1:22" ht="15.75" x14ac:dyDescent="0.25">
      <c r="D12" s="58" t="str">
        <v>Software</v>
      </c>
      <c r="E12" s="59" t="e">
        <f>IF(SUMIFS(SampleData!E:E, SampleData!C:C, D12, SampleData!G:G, $B$5, SampleData!B:B, $B$6, SampleData!F:F, "Expense") = 0, NA(), SUMIFS(SampleData!E:E, SampleData!C:C, D12, SampleData!G:G, $B$5, SampleData!B:B, $B$6, SampleData!F:F, "Expense"))</f>
        <v>#N/A</v>
      </c>
      <c r="H12" s="37"/>
      <c r="I12" s="37"/>
      <c r="L12" s="33"/>
      <c r="O12" s="37"/>
      <c r="T12" s="33"/>
    </row>
    <row r="13" spans="1:22" ht="15.75" x14ac:dyDescent="0.25">
      <c r="D13" s="58" t="str">
        <v>Investment</v>
      </c>
      <c r="E13" s="59" t="e">
        <f>IF(SUMIFS(SampleData!E:E, SampleData!C:C, D13, SampleData!G:G, $B$5, SampleData!B:B, $B$6, SampleData!F:F, "Expense") = 0, NA(), SUMIFS(SampleData!E:E, SampleData!C:C, D13, SampleData!G:G, $B$5, SampleData!B:B, $B$6, SampleData!F:F, "Expense"))</f>
        <v>#N/A</v>
      </c>
      <c r="H13" s="37"/>
      <c r="I13" s="37"/>
      <c r="L13" s="33"/>
      <c r="O13" s="37"/>
      <c r="T13" s="33"/>
    </row>
    <row r="14" spans="1:22" ht="15.75" x14ac:dyDescent="0.25">
      <c r="D14" s="58" t="str">
        <v>Consulting</v>
      </c>
      <c r="E14" s="59" t="e">
        <f>IF(SUMIFS(SampleData!E:E, SampleData!C:C, D14, SampleData!G:G, $B$5, SampleData!B:B, $B$6, SampleData!F:F, "Expense") = 0, NA(), SUMIFS(SampleData!E:E, SampleData!C:C, D14, SampleData!G:G, $B$5, SampleData!B:B, $B$6, SampleData!F:F, "Expense"))</f>
        <v>#N/A</v>
      </c>
      <c r="H14" s="37"/>
      <c r="I14" s="37"/>
      <c r="L14" s="33"/>
      <c r="O14" s="37"/>
      <c r="T14" s="33"/>
    </row>
    <row r="15" spans="1:22" ht="15.75" x14ac:dyDescent="0.25">
      <c r="D15" s="58" t="str">
        <v>Commission</v>
      </c>
      <c r="E15" s="59">
        <f>IF(SUMIFS(SampleData!E:E, SampleData!C:C, D15, SampleData!G:G, $B$5, SampleData!B:B, $B$6, SampleData!F:F, "Expense") = 0, NA(), SUMIFS(SampleData!E:E, SampleData!C:C, D15, SampleData!G:G, $B$5, SampleData!B:B, $B$6, SampleData!F:F, "Expense"))</f>
        <v>102506</v>
      </c>
      <c r="H15" s="37"/>
      <c r="I15" s="37"/>
      <c r="L15" s="33"/>
      <c r="O15" s="37"/>
      <c r="T15" s="33"/>
    </row>
    <row r="16" spans="1:22" ht="15.75" x14ac:dyDescent="0.25">
      <c r="D16" s="58" t="str">
        <v>Loan</v>
      </c>
      <c r="E16" s="59" t="e">
        <f>IF(SUMIFS(SampleData!E:E, SampleData!C:C, D16, SampleData!G:G, $B$5, SampleData!B:B, $B$6, SampleData!F:F, "Expense") = 0, NA(), SUMIFS(SampleData!E:E, SampleData!C:C, D16, SampleData!G:G, $B$5, SampleData!B:B, $B$6, SampleData!F:F, "Expense"))</f>
        <v>#N/A</v>
      </c>
      <c r="H16" s="37"/>
      <c r="I16" s="37"/>
      <c r="L16" s="33"/>
      <c r="O16" s="37"/>
      <c r="T16" s="33"/>
    </row>
    <row r="17" spans="1:20" ht="15.75" x14ac:dyDescent="0.25">
      <c r="D17" s="58" t="str">
        <v>Maintenance</v>
      </c>
      <c r="E17" s="59" t="e">
        <f>IF(SUMIFS(SampleData!E:E, SampleData!C:C, D17, SampleData!G:G, $B$5, SampleData!B:B, $B$6, SampleData!F:F, "Expense") = 0, NA(), SUMIFS(SampleData!E:E, SampleData!C:C, D17, SampleData!G:G, $B$5, SampleData!B:B, $B$6, SampleData!F:F, "Expense"))</f>
        <v>#N/A</v>
      </c>
      <c r="H17" s="37"/>
      <c r="I17" s="37"/>
      <c r="L17" s="33"/>
      <c r="O17" s="37"/>
      <c r="T17" s="33"/>
    </row>
    <row r="18" spans="1:20" ht="15.75" x14ac:dyDescent="0.25">
      <c r="D18" s="58" t="str">
        <v>Hardware</v>
      </c>
      <c r="E18" s="59" t="e">
        <f>IF(SUMIFS(SampleData!E:E, SampleData!C:C, D18, SampleData!G:G, $B$5, SampleData!B:B, $B$6, SampleData!F:F, "Expense") = 0, NA(), SUMIFS(SampleData!E:E, SampleData!C:C, D18, SampleData!G:G, $B$5, SampleData!B:B, $B$6, SampleData!F:F, "Expense"))</f>
        <v>#N/A</v>
      </c>
      <c r="G18" s="37"/>
      <c r="H18" s="37"/>
      <c r="I18" s="37"/>
      <c r="J18" s="37"/>
      <c r="K18" s="37"/>
      <c r="L18" s="33"/>
      <c r="O18" s="37"/>
      <c r="T18" s="33"/>
    </row>
    <row r="19" spans="1:20" ht="15.75" x14ac:dyDescent="0.25">
      <c r="D19" s="58" t="str">
        <v>Bank Charges</v>
      </c>
      <c r="E19" s="59" t="e">
        <f>IF(SUMIFS(SampleData!E:E, SampleData!C:C, D19, SampleData!G:G, $B$5, SampleData!B:B, $B$6, SampleData!F:F, "Expense") = 0, NA(), SUMIFS(SampleData!E:E, SampleData!C:C, D19, SampleData!G:G, $B$5, SampleData!B:B, $B$6, SampleData!F:F, "Expense"))</f>
        <v>#N/A</v>
      </c>
      <c r="F19" s="37"/>
      <c r="G19" s="37"/>
      <c r="H19" s="37"/>
      <c r="I19" s="37"/>
      <c r="J19" s="37"/>
      <c r="K19" s="37"/>
      <c r="L19" s="33"/>
      <c r="O19" s="37"/>
      <c r="T19" s="33"/>
    </row>
    <row r="20" spans="1:20" ht="15.75" x14ac:dyDescent="0.25">
      <c r="D20" s="58" t="str">
        <v>Discounts</v>
      </c>
      <c r="E20" s="59">
        <f>IF(SUMIFS(SampleData!E:E, SampleData!C:C, D20, SampleData!G:G, $B$5, SampleData!B:B, $B$6, SampleData!F:F, "Expense") = 0, NA(), SUMIFS(SampleData!E:E, SampleData!C:C, D20, SampleData!G:G, $B$5, SampleData!B:B, $B$6, SampleData!F:F, "Expense"))</f>
        <v>134840</v>
      </c>
      <c r="F20" s="37"/>
      <c r="G20" s="37"/>
      <c r="H20" s="37"/>
      <c r="I20" s="37"/>
      <c r="J20" s="37"/>
      <c r="K20" s="37"/>
      <c r="L20" s="33"/>
      <c r="M20" s="37"/>
      <c r="O20" s="37"/>
      <c r="T20" s="33"/>
    </row>
    <row r="21" spans="1:20" ht="15.75" x14ac:dyDescent="0.25">
      <c r="D21" s="58" t="str">
        <v>Salaries</v>
      </c>
      <c r="E21" s="59" t="e">
        <f>IF(SUMIFS(SampleData!E:E, SampleData!C:C, D21, SampleData!G:G, $B$5, SampleData!B:B, $B$6, SampleData!F:F, "Expense") = 0, NA(), SUMIFS(SampleData!E:E, SampleData!C:C, D21, SampleData!G:G, $B$5, SampleData!B:B, $B$6, SampleData!F:F, "Expense"))</f>
        <v>#N/A</v>
      </c>
      <c r="F21" s="37"/>
      <c r="G21" s="37"/>
      <c r="H21" s="37"/>
      <c r="I21" s="37"/>
      <c r="J21" s="37"/>
      <c r="K21" s="37"/>
      <c r="L21" s="33"/>
      <c r="M21" s="37"/>
      <c r="O21" s="37"/>
      <c r="T21" s="33"/>
    </row>
    <row r="22" spans="1:20" x14ac:dyDescent="0.25">
      <c r="F22" s="37"/>
      <c r="G22" s="37"/>
      <c r="H22" s="37"/>
      <c r="I22" s="37"/>
      <c r="J22" s="37"/>
      <c r="K22" s="37"/>
      <c r="L22" s="33"/>
      <c r="M22" s="37"/>
      <c r="N22" s="37"/>
      <c r="O22" s="37"/>
      <c r="T22" s="33"/>
    </row>
    <row r="23" spans="1:20" x14ac:dyDescent="0.25">
      <c r="A23" s="40"/>
      <c r="B23" s="40"/>
      <c r="C23" s="38"/>
      <c r="D23" s="40"/>
      <c r="E23" s="40"/>
      <c r="F23" s="32"/>
      <c r="G23" s="40"/>
      <c r="H23" s="40"/>
      <c r="I23" s="40"/>
      <c r="J23" s="40"/>
      <c r="K23" s="40"/>
      <c r="L23" s="32"/>
      <c r="M23" s="37"/>
      <c r="N23" s="37"/>
      <c r="O23" s="37"/>
      <c r="T23" s="33"/>
    </row>
    <row r="24" spans="1:20" x14ac:dyDescent="0.25">
      <c r="C24" s="39"/>
      <c r="F24" s="33"/>
      <c r="G24" s="37"/>
      <c r="H24" s="37"/>
      <c r="I24" s="37"/>
      <c r="J24" s="37"/>
      <c r="K24" s="37"/>
      <c r="L24" s="33"/>
      <c r="M24" s="37"/>
      <c r="O24" s="37"/>
      <c r="T24" s="33"/>
    </row>
    <row r="25" spans="1:20" x14ac:dyDescent="0.25">
      <c r="A25" s="35"/>
      <c r="B25" s="35"/>
      <c r="C25" s="34"/>
      <c r="D25" s="35"/>
      <c r="E25" s="35"/>
      <c r="F25" s="36"/>
      <c r="G25" s="35"/>
      <c r="H25" s="35"/>
      <c r="I25" s="35"/>
      <c r="J25" s="35"/>
      <c r="K25" s="35"/>
      <c r="L25" s="36"/>
      <c r="M25" s="34"/>
      <c r="N25" s="35"/>
      <c r="O25" s="35"/>
      <c r="P25" s="35"/>
      <c r="Q25" s="35"/>
      <c r="R25" s="35"/>
      <c r="S25" s="35"/>
      <c r="T25" s="36"/>
    </row>
    <row r="26" spans="1:20" x14ac:dyDescent="0.25">
      <c r="H26" s="37"/>
      <c r="I26" s="37"/>
      <c r="J26" s="37"/>
      <c r="K26" s="37"/>
      <c r="L26" s="37"/>
      <c r="M26" s="37"/>
      <c r="O26" s="37"/>
    </row>
    <row r="27" spans="1:20" x14ac:dyDescent="0.25">
      <c r="H27" s="37"/>
      <c r="I27" s="37"/>
      <c r="J27" s="37"/>
      <c r="K27" s="37"/>
      <c r="L27" s="37"/>
      <c r="M27" s="37"/>
      <c r="O27" s="37"/>
    </row>
    <row r="28" spans="1:20" x14ac:dyDescent="0.25">
      <c r="H28" s="37"/>
      <c r="I28" s="37"/>
      <c r="J28" s="37"/>
      <c r="K28" s="37"/>
      <c r="L28" s="37"/>
      <c r="M28" s="37"/>
      <c r="O28" s="37"/>
    </row>
    <row r="29" spans="1:20" x14ac:dyDescent="0.25">
      <c r="H29" s="37"/>
      <c r="I29" s="37"/>
      <c r="J29" s="37"/>
      <c r="K29" s="37"/>
      <c r="L29" s="37"/>
      <c r="M29" s="37"/>
      <c r="O29" s="37"/>
    </row>
    <row r="30" spans="1:20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O30" s="37"/>
    </row>
    <row r="31" spans="1:20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</row>
    <row r="32" spans="1:20" x14ac:dyDescent="0.25">
      <c r="H32" s="37"/>
    </row>
    <row r="33" spans="1:8" x14ac:dyDescent="0.25">
      <c r="A33" s="37"/>
      <c r="B33" s="37"/>
      <c r="C33" s="37"/>
      <c r="D33" s="37"/>
      <c r="E33" s="37"/>
      <c r="F33" s="37"/>
      <c r="G33" s="37"/>
      <c r="H33" s="37"/>
    </row>
    <row r="34" spans="1:8" x14ac:dyDescent="0.25">
      <c r="A34" s="37"/>
      <c r="B34" s="37"/>
      <c r="C34" s="37"/>
      <c r="D34" s="37"/>
      <c r="E34" s="37"/>
      <c r="F34" s="37"/>
      <c r="G34" s="37"/>
      <c r="H34" s="37"/>
    </row>
  </sheetData>
  <mergeCells count="3">
    <mergeCell ref="A4:L4"/>
    <mergeCell ref="M4:T4"/>
    <mergeCell ref="A1:T3"/>
  </mergeCells>
  <conditionalFormatting sqref="E6:E21">
    <cfRule type="containsErrors" dxfId="0" priority="2">
      <formula>ISERROR(E6)</formula>
    </cfRule>
  </conditionalFormatting>
  <dataValidations count="2">
    <dataValidation type="list" allowBlank="1" showInputMessage="1" showErrorMessage="1" sqref="B5" xr:uid="{1CEEAAB7-ADBC-4237-B15C-7D26766367B6}">
      <formula1>"1, 2, 3, 4"</formula1>
    </dataValidation>
    <dataValidation type="list" allowBlank="1" showInputMessage="1" showErrorMessage="1" sqref="B6" xr:uid="{1816675B-838C-40B2-A093-4D12DA89A842}">
      <formula1>"Sales,HR,Finance,IT,Admin"</formula1>
    </dataValidation>
  </dataValidations>
  <pageMargins left="0.7" right="0.7" top="0.75" bottom="0.7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Refresh_Dashboard">
                <anchor moveWithCells="1" sizeWithCells="1">
                  <from>
                    <xdr:col>0</xdr:col>
                    <xdr:colOff>123825</xdr:colOff>
                    <xdr:row>22</xdr:row>
                    <xdr:rowOff>47625</xdr:rowOff>
                  </from>
                  <to>
                    <xdr:col>1</xdr:col>
                    <xdr:colOff>1304925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 macro="[0]!GenerateReport">
                <anchor moveWithCells="1" sizeWithCells="1">
                  <from>
                    <xdr:col>3</xdr:col>
                    <xdr:colOff>123825</xdr:colOff>
                    <xdr:row>22</xdr:row>
                    <xdr:rowOff>47625</xdr:rowOff>
                  </from>
                  <to>
                    <xdr:col>4</xdr:col>
                    <xdr:colOff>1438275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ExportReportToPDF">
                <anchor moveWithCells="1" sizeWithCells="1">
                  <from>
                    <xdr:col>6</xdr:col>
                    <xdr:colOff>552450</xdr:colOff>
                    <xdr:row>22</xdr:row>
                    <xdr:rowOff>66675</xdr:rowOff>
                  </from>
                  <to>
                    <xdr:col>10</xdr:col>
                    <xdr:colOff>581025</xdr:colOff>
                    <xdr:row>24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C4A3-1466-4F5C-B541-3F8BD3030208}">
  <sheetPr codeName="Sheet6"/>
  <dimension ref="A1:F19"/>
  <sheetViews>
    <sheetView workbookViewId="0">
      <selection activeCell="G5" sqref="G5"/>
    </sheetView>
  </sheetViews>
  <sheetFormatPr defaultRowHeight="15" x14ac:dyDescent="0.25"/>
  <cols>
    <col min="1" max="1" width="10.42578125" style="24" bestFit="1" customWidth="1"/>
    <col min="2" max="2" width="12.140625" style="24" bestFit="1" customWidth="1"/>
    <col min="3" max="3" width="11.140625" style="24" bestFit="1" customWidth="1"/>
    <col min="4" max="4" width="19.140625" style="24" bestFit="1" customWidth="1"/>
    <col min="5" max="5" width="8.42578125" style="25" bestFit="1" customWidth="1"/>
    <col min="6" max="6" width="9.85546875" style="24" bestFit="1" customWidth="1"/>
    <col min="7" max="7" width="9" style="24" customWidth="1"/>
    <col min="8" max="16384" width="9.140625" style="24"/>
  </cols>
  <sheetData>
    <row r="1" spans="1:6" x14ac:dyDescent="0.25">
      <c r="A1" s="26" t="s">
        <v>6</v>
      </c>
      <c r="B1" s="26" t="s">
        <v>7</v>
      </c>
      <c r="C1" s="26" t="s">
        <v>8</v>
      </c>
      <c r="D1" s="26" t="s">
        <v>9</v>
      </c>
      <c r="E1" s="26" t="s">
        <v>10</v>
      </c>
      <c r="F1" s="26" t="s">
        <v>11</v>
      </c>
    </row>
    <row r="2" spans="1:6" x14ac:dyDescent="0.25">
      <c r="A2" s="27">
        <v>45390</v>
      </c>
      <c r="B2" s="28" t="s">
        <v>18</v>
      </c>
      <c r="C2" s="28" t="s">
        <v>47</v>
      </c>
      <c r="D2" s="28" t="s">
        <v>48</v>
      </c>
      <c r="E2" s="29">
        <v>1116</v>
      </c>
      <c r="F2" s="28" t="s">
        <v>15</v>
      </c>
    </row>
    <row r="3" spans="1:6" x14ac:dyDescent="0.25">
      <c r="A3" s="27">
        <v>45417</v>
      </c>
      <c r="B3" s="28" t="s">
        <v>18</v>
      </c>
      <c r="C3" s="28" t="s">
        <v>61</v>
      </c>
      <c r="D3" s="28" t="s">
        <v>62</v>
      </c>
      <c r="E3" s="29">
        <v>10200</v>
      </c>
      <c r="F3" s="28" t="s">
        <v>15</v>
      </c>
    </row>
    <row r="4" spans="1:6" x14ac:dyDescent="0.25">
      <c r="A4" s="27">
        <v>45419</v>
      </c>
      <c r="B4" s="28" t="s">
        <v>18</v>
      </c>
      <c r="C4" s="28" t="s">
        <v>61</v>
      </c>
      <c r="D4" s="28" t="s">
        <v>62</v>
      </c>
      <c r="E4" s="29">
        <v>8920</v>
      </c>
      <c r="F4" s="28" t="s">
        <v>15</v>
      </c>
    </row>
    <row r="5" spans="1:6" x14ac:dyDescent="0.25">
      <c r="A5" s="27">
        <v>45446</v>
      </c>
      <c r="B5" s="28" t="s">
        <v>18</v>
      </c>
      <c r="C5" s="28" t="s">
        <v>47</v>
      </c>
      <c r="D5" s="28" t="s">
        <v>48</v>
      </c>
      <c r="E5" s="29">
        <v>31670</v>
      </c>
      <c r="F5" s="28" t="s">
        <v>15</v>
      </c>
    </row>
    <row r="6" spans="1:6" x14ac:dyDescent="0.25">
      <c r="A6" s="27">
        <v>45447</v>
      </c>
      <c r="B6" s="28" t="s">
        <v>18</v>
      </c>
      <c r="C6" s="28" t="s">
        <v>47</v>
      </c>
      <c r="D6" s="28" t="s">
        <v>48</v>
      </c>
      <c r="E6" s="29">
        <v>21500</v>
      </c>
      <c r="F6" s="28" t="s">
        <v>15</v>
      </c>
    </row>
    <row r="7" spans="1:6" x14ac:dyDescent="0.25">
      <c r="A7" s="27">
        <v>45464</v>
      </c>
      <c r="B7" s="28" t="s">
        <v>18</v>
      </c>
      <c r="C7" s="28" t="s">
        <v>61</v>
      </c>
      <c r="D7" s="28" t="s">
        <v>62</v>
      </c>
      <c r="E7" s="29">
        <v>10890</v>
      </c>
      <c r="F7" s="28" t="s">
        <v>15</v>
      </c>
    </row>
    <row r="8" spans="1:6" x14ac:dyDescent="0.25">
      <c r="A8" s="27">
        <v>45465</v>
      </c>
      <c r="B8" s="28" t="s">
        <v>18</v>
      </c>
      <c r="C8" s="28" t="s">
        <v>61</v>
      </c>
      <c r="D8" s="28" t="s">
        <v>62</v>
      </c>
      <c r="E8" s="29">
        <v>9740</v>
      </c>
      <c r="F8" s="28" t="s">
        <v>15</v>
      </c>
    </row>
    <row r="9" spans="1:6" x14ac:dyDescent="0.25">
      <c r="A9" s="27">
        <v>45466</v>
      </c>
      <c r="B9" s="28" t="s">
        <v>18</v>
      </c>
      <c r="C9" s="28" t="s">
        <v>61</v>
      </c>
      <c r="D9" s="28" t="s">
        <v>62</v>
      </c>
      <c r="E9" s="29">
        <v>9900</v>
      </c>
      <c r="F9" s="28" t="s">
        <v>15</v>
      </c>
    </row>
    <row r="10" spans="1:6" x14ac:dyDescent="0.25">
      <c r="A10" s="27">
        <v>45468</v>
      </c>
      <c r="B10" s="28" t="s">
        <v>18</v>
      </c>
      <c r="C10" s="28" t="s">
        <v>61</v>
      </c>
      <c r="D10" s="28" t="s">
        <v>62</v>
      </c>
      <c r="E10" s="29">
        <v>10340</v>
      </c>
      <c r="F10" s="28" t="s">
        <v>15</v>
      </c>
    </row>
    <row r="11" spans="1:6" x14ac:dyDescent="0.25">
      <c r="A11" s="27">
        <v>45468</v>
      </c>
      <c r="B11" s="28" t="s">
        <v>18</v>
      </c>
      <c r="C11" s="28" t="s">
        <v>61</v>
      </c>
      <c r="D11" s="28" t="s">
        <v>62</v>
      </c>
      <c r="E11" s="29">
        <v>11230</v>
      </c>
      <c r="F11" s="28" t="s">
        <v>15</v>
      </c>
    </row>
    <row r="12" spans="1:6" x14ac:dyDescent="0.25">
      <c r="A12" s="27">
        <v>45469</v>
      </c>
      <c r="B12" s="28" t="s">
        <v>18</v>
      </c>
      <c r="C12" s="28" t="s">
        <v>47</v>
      </c>
      <c r="D12" s="28" t="s">
        <v>48</v>
      </c>
      <c r="E12" s="29">
        <v>24470</v>
      </c>
      <c r="F12" s="28" t="s">
        <v>15</v>
      </c>
    </row>
    <row r="13" spans="1:6" x14ac:dyDescent="0.25">
      <c r="A13" s="27">
        <v>45469</v>
      </c>
      <c r="B13" s="28" t="s">
        <v>18</v>
      </c>
      <c r="C13" s="28" t="s">
        <v>61</v>
      </c>
      <c r="D13" s="28" t="s">
        <v>62</v>
      </c>
      <c r="E13" s="29">
        <v>9600</v>
      </c>
      <c r="F13" s="28" t="s">
        <v>15</v>
      </c>
    </row>
    <row r="14" spans="1:6" x14ac:dyDescent="0.25">
      <c r="A14" s="27">
        <v>45469</v>
      </c>
      <c r="B14" s="28" t="s">
        <v>18</v>
      </c>
      <c r="C14" s="28" t="s">
        <v>61</v>
      </c>
      <c r="D14" s="28" t="s">
        <v>62</v>
      </c>
      <c r="E14" s="29">
        <v>10720</v>
      </c>
      <c r="F14" s="28" t="s">
        <v>15</v>
      </c>
    </row>
    <row r="15" spans="1:6" x14ac:dyDescent="0.25">
      <c r="A15" s="27">
        <v>45470</v>
      </c>
      <c r="B15" s="28" t="s">
        <v>18</v>
      </c>
      <c r="C15" s="28" t="s">
        <v>61</v>
      </c>
      <c r="D15" s="28" t="s">
        <v>62</v>
      </c>
      <c r="E15" s="29">
        <v>10250</v>
      </c>
      <c r="F15" s="28" t="s">
        <v>15</v>
      </c>
    </row>
    <row r="16" spans="1:6" x14ac:dyDescent="0.25">
      <c r="A16" s="27">
        <v>45471</v>
      </c>
      <c r="B16" s="28" t="s">
        <v>18</v>
      </c>
      <c r="C16" s="28" t="s">
        <v>61</v>
      </c>
      <c r="D16" s="28" t="s">
        <v>62</v>
      </c>
      <c r="E16" s="29">
        <v>10860</v>
      </c>
      <c r="F16" s="28" t="s">
        <v>15</v>
      </c>
    </row>
    <row r="17" spans="1:6" x14ac:dyDescent="0.25">
      <c r="A17" s="27">
        <v>45472</v>
      </c>
      <c r="B17" s="28" t="s">
        <v>18</v>
      </c>
      <c r="C17" s="28" t="s">
        <v>47</v>
      </c>
      <c r="D17" s="28" t="s">
        <v>48</v>
      </c>
      <c r="E17" s="29">
        <v>23750</v>
      </c>
      <c r="F17" s="28" t="s">
        <v>15</v>
      </c>
    </row>
    <row r="18" spans="1:6" x14ac:dyDescent="0.25">
      <c r="A18" s="27">
        <v>45472</v>
      </c>
      <c r="B18" s="28" t="s">
        <v>18</v>
      </c>
      <c r="C18" s="28" t="s">
        <v>61</v>
      </c>
      <c r="D18" s="28" t="s">
        <v>62</v>
      </c>
      <c r="E18" s="29">
        <v>10990</v>
      </c>
      <c r="F18" s="28" t="s">
        <v>15</v>
      </c>
    </row>
    <row r="19" spans="1:6" x14ac:dyDescent="0.25">
      <c r="A19" s="27">
        <v>45473</v>
      </c>
      <c r="B19" s="28" t="s">
        <v>18</v>
      </c>
      <c r="C19" s="28" t="s">
        <v>61</v>
      </c>
      <c r="D19" s="28" t="s">
        <v>62</v>
      </c>
      <c r="E19" s="29">
        <v>11200</v>
      </c>
      <c r="F19" s="28" t="s">
        <v>15</v>
      </c>
    </row>
  </sheetData>
  <sortState xmlns:xlrd2="http://schemas.microsoft.com/office/spreadsheetml/2017/richdata2" ref="A2:F19">
    <sortCondition ref="A2:A19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46FECBF3-4CB8-46F4-95C8-152A605E3175}">
  <ds:schemaRefs/>
</ds:datastoreItem>
</file>

<file path=customXml/itemProps2.xml><?xml version="1.0" encoding="utf-8"?>
<ds:datastoreItem xmlns:ds="http://schemas.openxmlformats.org/officeDocument/2006/customXml" ds:itemID="{56C03273-E5DC-4FCD-A548-BFB13DC0D615}">
  <ds:schemaRefs/>
</ds:datastoreItem>
</file>

<file path=customXml/itemProps3.xml><?xml version="1.0" encoding="utf-8"?>
<ds:datastoreItem xmlns:ds="http://schemas.openxmlformats.org/officeDocument/2006/customXml" ds:itemID="{798B4DF5-69C6-4AFB-8C5D-4A47A7DBE9F0}">
  <ds:schemaRefs/>
</ds:datastoreItem>
</file>

<file path=customXml/itemProps4.xml><?xml version="1.0" encoding="utf-8"?>
<ds:datastoreItem xmlns:ds="http://schemas.openxmlformats.org/officeDocument/2006/customXml" ds:itemID="{B69FE3C3-4C62-455F-8284-93FEF2A31343}">
  <ds:schemaRefs/>
</ds:datastoreItem>
</file>

<file path=customXml/itemProps5.xml><?xml version="1.0" encoding="utf-8"?>
<ds:datastoreItem xmlns:ds="http://schemas.openxmlformats.org/officeDocument/2006/customXml" ds:itemID="{353C1D93-9DC7-4F7F-848A-186C061273F9}">
  <ds:schemaRefs/>
</ds:datastoreItem>
</file>

<file path=customXml/itemProps6.xml><?xml version="1.0" encoding="utf-8"?>
<ds:datastoreItem xmlns:ds="http://schemas.openxmlformats.org/officeDocument/2006/customXml" ds:itemID="{42DB9F22-B532-4B82-842B-BF82D03D48E8}">
  <ds:schemaRefs/>
</ds:datastoreItem>
</file>

<file path=customXml/itemProps7.xml><?xml version="1.0" encoding="utf-8"?>
<ds:datastoreItem xmlns:ds="http://schemas.openxmlformats.org/officeDocument/2006/customXml" ds:itemID="{42733E0A-4F4D-416B-880B-D0148BEBA75C}">
  <ds:schemaRefs/>
</ds:datastoreItem>
</file>

<file path=customXml/itemProps8.xml><?xml version="1.0" encoding="utf-8"?>
<ds:datastoreItem xmlns:ds="http://schemas.openxmlformats.org/officeDocument/2006/customXml" ds:itemID="{13ABE7EF-42CC-4A0A-8897-DD451619CD2B}">
  <ds:schemaRefs/>
</ds:datastoreItem>
</file>

<file path=customXml/itemProps9.xml><?xml version="1.0" encoding="utf-8"?>
<ds:datastoreItem xmlns:ds="http://schemas.openxmlformats.org/officeDocument/2006/customXml" ds:itemID="{D88B2583-73E1-4034-B5E9-5F47CA158787}">
  <ds:schemaRefs/>
</ds:datastoreItem>
</file>

<file path=customXml/itemProps10.xml><?xml version="1.0" encoding="utf-8"?>
<ds:datastoreItem xmlns:ds="http://schemas.openxmlformats.org/officeDocument/2006/customXml" ds:itemID="{317AC5D4-AE3D-42C1-8BF3-4E26499143D3}">
  <ds:schemaRefs/>
</ds:datastoreItem>
</file>

<file path=customXml/itemProps11.xml><?xml version="1.0" encoding="utf-8"?>
<ds:datastoreItem xmlns:ds="http://schemas.openxmlformats.org/officeDocument/2006/customXml" ds:itemID="{4D5797DC-AEBC-44BA-B96E-51DD2F1A63D8}">
  <ds:schemaRefs/>
</ds:datastoreItem>
</file>

<file path=customXml/itemProps12.xml><?xml version="1.0" encoding="utf-8"?>
<ds:datastoreItem xmlns:ds="http://schemas.openxmlformats.org/officeDocument/2006/customXml" ds:itemID="{018FB695-3AFE-4A1A-BD0A-9960DD625A71}">
  <ds:schemaRefs/>
</ds:datastoreItem>
</file>

<file path=customXml/itemProps13.xml><?xml version="1.0" encoding="utf-8"?>
<ds:datastoreItem xmlns:ds="http://schemas.openxmlformats.org/officeDocument/2006/customXml" ds:itemID="{5617F29E-38B8-44CC-B361-79F05DED6721}">
  <ds:schemaRefs/>
</ds:datastoreItem>
</file>

<file path=customXml/itemProps14.xml><?xml version="1.0" encoding="utf-8"?>
<ds:datastoreItem xmlns:ds="http://schemas.openxmlformats.org/officeDocument/2006/customXml" ds:itemID="{50E6BE79-2E36-44BF-8133-FE5F03109D41}">
  <ds:schemaRefs/>
</ds:datastoreItem>
</file>

<file path=customXml/itemProps15.xml><?xml version="1.0" encoding="utf-8"?>
<ds:datastoreItem xmlns:ds="http://schemas.openxmlformats.org/officeDocument/2006/customXml" ds:itemID="{9BF55174-55F9-43A8-9712-0F7184DE33E6}">
  <ds:schemaRefs/>
</ds:datastoreItem>
</file>

<file path=customXml/itemProps16.xml><?xml version="1.0" encoding="utf-8"?>
<ds:datastoreItem xmlns:ds="http://schemas.openxmlformats.org/officeDocument/2006/customXml" ds:itemID="{96530E2C-FDA4-44A0-8FDA-C76C30CB812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Project_Overview</vt:lpstr>
      <vt:lpstr>SampleData</vt:lpstr>
      <vt:lpstr>Pivot_Table_Data</vt:lpstr>
      <vt:lpstr>Dashboard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Rajan</dc:creator>
  <cp:lastModifiedBy>Rajan</cp:lastModifiedBy>
  <cp:lastPrinted>2025-04-25T17:47:13Z</cp:lastPrinted>
  <dcterms:created xsi:type="dcterms:W3CDTF">2015-06-05T18:17:20Z</dcterms:created>
  <dcterms:modified xsi:type="dcterms:W3CDTF">2025-04-26T13:15:21Z</dcterms:modified>
</cp:coreProperties>
</file>